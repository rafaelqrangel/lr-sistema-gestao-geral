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Instruções" sheetId="1" state="visible" r:id="rId3"/>
    <sheet name="1. Briefing" sheetId="2" state="visible" r:id="rId4"/>
    <sheet name="2. Mercado" sheetId="3" state="visible" r:id="rId5"/>
    <sheet name="3. Formulação" sheetId="4" state="visible" r:id="rId6"/>
    <sheet name="4. Embalagem" sheetId="5" state="visible" r:id="rId7"/>
    <sheet name="5. Custos" sheetId="6" state="visible" r:id="rId8"/>
    <sheet name="6. Viabilidade" sheetId="7" state="visible" r:id="rId9"/>
    <sheet name="7. Scorecard" sheetId="8" state="visible" r:id="rId10"/>
    <sheet name="8. Cronograma" sheetId="9" state="visible" r:id="rId11"/>
    <sheet name="9. Riscos" sheetId="10" state="visible" r:id="rId12"/>
    <sheet name="10. Aprovação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0" authorId="0">
      <text>
        <r>
          <rPr>
            <sz val="10"/>
            <rFont val="Arial"/>
            <family val="2"/>
          </rPr>
          <t xml:space="preserve">Define se o caminho é notificação ou registro. É a primeira decisão regulatória.</t>
        </r>
      </text>
    </comment>
    <comment ref="A21" authorId="0">
      <text>
        <r>
          <rPr>
            <sz val="10"/>
            <rFont val="Arial"/>
            <family val="2"/>
          </rPr>
          <t xml:space="preserve">Grau 2 é mais lento e mais caro. Precisa entrar no cronograma da aba 8.</t>
        </r>
      </text>
    </comment>
    <comment ref="A22" authorId="0">
      <text>
        <r>
          <rPr>
            <sz val="10"/>
            <rFont val="Arial"/>
            <family val="2"/>
          </rPr>
          <t xml:space="preserve">Se a produção for terceirizada, o co-packer precisa ter a habilitação correspondente.</t>
        </r>
      </text>
    </comment>
    <comment ref="A23" authorId="0">
      <text>
        <r>
          <rPr>
            <sz val="10"/>
            <rFont val="Arial"/>
            <family val="2"/>
          </rPr>
          <t xml:space="preserve">Versão congelada da fórmula que vai para o dossiê.</t>
        </r>
      </text>
    </comment>
    <comment ref="A24" authorId="0">
      <text>
        <r>
          <rPr>
            <sz val="10"/>
            <rFont val="Arial"/>
            <family val="2"/>
          </rPr>
          <t xml:space="preserve">Cheque cada matéria-prima contra as listas vigentes antes de fechar a fórmula.</t>
        </r>
      </text>
    </comment>
    <comment ref="A25" authorId="0">
      <text>
        <r>
          <rPr>
            <sz val="10"/>
            <rFont val="Arial"/>
            <family val="2"/>
          </rPr>
          <t xml:space="preserve">Composição em INCI, lote, validade, conteúdo, SAC, responsável técnico, origem.</t>
        </r>
      </text>
    </comment>
    <comment ref="A26" authorId="0">
      <text>
        <r>
          <rPr>
            <sz val="10"/>
            <rFont val="Arial"/>
            <family val="2"/>
          </rPr>
          <t xml:space="preserve">Claim sem estudo é passivo jurídico e risco de mídia. Um estudo por claim.</t>
        </r>
      </text>
    </comment>
    <comment ref="A27" authorId="0">
      <text>
        <r>
          <rPr>
            <sz val="10"/>
            <rFont val="Arial"/>
            <family val="2"/>
          </rPr>
          <t xml:space="preserve">Sustenta a validade declarada. Começa cedo porque é o item mais longo do cronograma.</t>
        </r>
      </text>
    </comment>
    <comment ref="A28" authorId="0">
      <text>
        <r>
          <rPr>
            <sz val="10"/>
            <rFont val="Arial"/>
            <family val="2"/>
          </rPr>
          <t xml:space="preserve">Migração, deformação, perda de fragrância, alteração de cor.</t>
        </r>
      </text>
    </comment>
    <comment ref="A29" authorId="0">
      <text>
        <r>
          <rPr>
            <sz val="10"/>
            <rFont val="Arial"/>
            <family val="2"/>
          </rPr>
          <t xml:space="preserve">Valida o sistema conservante ao longo da vida útil.</t>
        </r>
      </text>
    </comment>
    <comment ref="A30" authorId="0">
      <text>
        <r>
          <rPr>
            <sz val="10"/>
            <rFont val="Arial"/>
            <family val="2"/>
          </rPr>
          <t xml:space="preserve">Dossiê de segurança do produto acabado.</t>
        </r>
      </text>
    </comment>
    <comment ref="A31" authorId="0">
      <text>
        <r>
          <rPr>
            <sz val="10"/>
            <rFont val="Arial"/>
            <family val="2"/>
          </rPr>
          <t xml:space="preserve">Obrigatório se houver claim dermatológico ou público sensível.</t>
        </r>
      </text>
    </comment>
    <comment ref="A32" authorId="0">
      <text>
        <r>
          <rPr>
            <sz val="10"/>
            <rFont val="Arial"/>
            <family val="2"/>
          </rPr>
          <t xml:space="preserve">Feito antes de investir em arte e ferramental.</t>
        </r>
      </text>
    </comment>
    <comment ref="A33" authorId="0">
      <text>
        <r>
          <rPr>
            <sz val="10"/>
            <rFont val="Arial"/>
            <family val="2"/>
          </rPr>
          <t xml:space="preserve">Um por SKU e por múltiplo logístico.</t>
        </r>
      </text>
    </comment>
    <comment ref="A34" authorId="0">
      <text>
        <r>
          <rPr>
            <sz val="10"/>
            <rFont val="Arial"/>
            <family val="2"/>
          </rPr>
          <t xml:space="preserve">Alguns varejistas exigem laudo, ficha técnica e cadastro próprios.</t>
        </r>
      </text>
    </comment>
    <comment ref="B40" authorId="0">
      <text>
        <r>
          <rPr>
            <sz val="10"/>
            <rFont val="Arial"/>
            <family val="2"/>
          </rPr>
          <t xml:space="preserve">Cada variação de fórmula é testada separadamente. Três variações multiplicam o custo básico por três.</t>
        </r>
      </text>
    </comment>
    <comment ref="E44" authorId="0">
      <text>
        <r>
          <rPr>
            <sz val="10"/>
            <rFont val="Arial"/>
            <family val="2"/>
          </rPr>
          <t xml:space="preserve">Prazo ainda não informado — confirmar com o laboratório antes de fechar o cronograma da aba 8.</t>
        </r>
      </text>
    </comment>
    <comment ref="E45" authorId="0">
      <text>
        <r>
          <rPr>
            <sz val="10"/>
            <rFont val="Arial"/>
            <family val="2"/>
          </rPr>
          <t xml:space="preserve">Prazo ainda não informado — confirmar com o laboratório antes de fechar o cronograma da aba 8.</t>
        </r>
      </text>
    </comment>
    <comment ref="E46" authorId="0">
      <text>
        <r>
          <rPr>
            <sz val="10"/>
            <rFont val="Arial"/>
            <family val="2"/>
          </rPr>
          <t xml:space="preserve">Prazo ainda não informado — confirmar com o laboratório antes de fechar o cronograma da aba 8.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Data em que a primeira fase começa. Todas as demais datas derivam desta.</t>
        </r>
      </text>
    </comment>
  </commentList>
</comments>
</file>

<file path=xl/sharedStrings.xml><?xml version="1.0" encoding="utf-8"?>
<sst xmlns="http://schemas.openxmlformats.org/spreadsheetml/2006/main" count="1445" uniqueCount="1135">
  <si>
    <t xml:space="preserve">LEITE DE ROSAS  |  BRIEFING DE DESENVOLVIMENTO DE PRODUTO — HPPC</t>
  </si>
  <si>
    <t xml:space="preserve">Higiene Pessoal, Perfumaria e Cosméticos · Processo Stage-Gate · Documento vivo, versionado por projeto</t>
  </si>
  <si>
    <t xml:space="preserve">COMO USAR ESTE ARQUIVO</t>
  </si>
  <si>
    <t xml:space="preserve">#</t>
  </si>
  <si>
    <t xml:space="preserve">Passo</t>
  </si>
  <si>
    <t xml:space="preserve">Detalhe</t>
  </si>
  <si>
    <t xml:space="preserve">1</t>
  </si>
  <si>
    <t xml:space="preserve">Duplique o arquivo por projeto</t>
  </si>
  <si>
    <t xml:space="preserve">Um arquivo por ideia de produto. Nomeie como BRF_&lt;ano&gt;_&lt;nº&gt;_&lt;nome de trabalho&gt;.xlsx e registre o mesmo código na aba 1.</t>
  </si>
  <si>
    <t xml:space="preserve">2</t>
  </si>
  <si>
    <t xml:space="preserve">Preencha apenas as células amarelas</t>
  </si>
  <si>
    <t xml:space="preserve">Todo o resto é fórmula. Se você digitar por cima de uma fórmula, o modelo para de recalcular e o número deixa de ser confiável.</t>
  </si>
  <si>
    <t xml:space="preserve">3</t>
  </si>
  <si>
    <t xml:space="preserve">Vá na ordem das abas</t>
  </si>
  <si>
    <t xml:space="preserve">1 Briefing → 2 Mercado → 3 Formulação → 4 Embalagem → 5 Custos → 6 Viabilidade. As abas 7 a 10 consolidam a decisão.</t>
  </si>
  <si>
    <t xml:space="preserve">4</t>
  </si>
  <si>
    <t xml:space="preserve">Rode o Scorecard (aba 7) antes de pedir aprovação</t>
  </si>
  <si>
    <t xml:space="preserve">O score ponderado é o critério de priorização de portfólio. Projeto abaixo do corte não entra em fila de desenvolvimento.</t>
  </si>
  <si>
    <t xml:space="preserve">5</t>
  </si>
  <si>
    <t xml:space="preserve">Leve ao gate com as abas 6, 7 e 9 impressas</t>
  </si>
  <si>
    <t xml:space="preserve">Viabilidade, priorização e riscos são o mínimo que a Diretoria precisa para decidir GO / NO-GO / AJUSTAR.</t>
  </si>
  <si>
    <t xml:space="preserve">LEGENDA DE CORES</t>
  </si>
  <si>
    <t xml:space="preserve">Formato</t>
  </si>
  <si>
    <t xml:space="preserve">Significado</t>
  </si>
  <si>
    <t xml:space="preserve">Exemplo</t>
  </si>
  <si>
    <t xml:space="preserve">Célula de ENTRADA — fundo amarelo, fonte azul. É aqui que você digita.</t>
  </si>
  <si>
    <t xml:space="preserve">Célula CALCULADA na própria aba — fonte preta em negrito. Não digite por cima.</t>
  </si>
  <si>
    <t xml:space="preserve">Célula que PUXA outra aba — fonte verde. Para mudar o valor, mude na aba de origem.</t>
  </si>
  <si>
    <t xml:space="preserve">CONTEXTO ESTRATÉGICO — POR QUE ESTE BRIEFING EXISTE</t>
  </si>
  <si>
    <t xml:space="preserve">Vetor</t>
  </si>
  <si>
    <t xml:space="preserve">Leitura</t>
  </si>
  <si>
    <t xml:space="preserve">Concentração de portfólio</t>
  </si>
  <si>
    <t xml:space="preserve">A maior parte do faturamento está concentrada em pouquíssimos SKUs. Qualquer choque de demanda, de canal ou de matéria-prima nesses itens atinge o caixa inteiro. Desenvolver produto novo aqui não é inovação de vitrine: é redução de risco.</t>
  </si>
  <si>
    <t xml:space="preserve">Margem e caixa restritos</t>
  </si>
  <si>
    <t xml:space="preserve">Com margem apertada e caixa curto, todo projeto precisa justificar payback curto, capex mínimo e, sempre que possível, produção em ativo já existente ou terceirizada. A aba 6 força essa conversa com número.</t>
  </si>
  <si>
    <t xml:space="preserve">Ativo de marca subaproveitado</t>
  </si>
  <si>
    <t xml:space="preserve">Leite de Rosas é marca quase centenária, com reconhecimento espontâneo altíssimo e território próprio (cuidado, frescor, tradição, o rosa). Extensão de linha bem-feita compra distribuição mais barato do que marca nova.</t>
  </si>
  <si>
    <t xml:space="preserve">Risco de canibalização</t>
  </si>
  <si>
    <t xml:space="preserve">Como a base é concentrada, produto novo mal posicionado rouba volume do carro-chefe em vez de somar. O Scorecard (aba 7) pontua isso explicitamente.</t>
  </si>
  <si>
    <t xml:space="preserve">Disciplina de gate</t>
  </si>
  <si>
    <t xml:space="preserve">O objetivo do arquivo é matar ideia ruim cedo e barato. Um NO-GO no Gate 1 é resultado positivo do processo, não fracasso.</t>
  </si>
  <si>
    <t xml:space="preserve">O QUE COMPÕE O CUSTO — E O QUE COSTUMA FICAR DE FORA</t>
  </si>
  <si>
    <t xml:space="preserve">Item</t>
  </si>
  <si>
    <t xml:space="preserve">Onde entra</t>
  </si>
  <si>
    <t xml:space="preserve">Impostos recuperáveis na compra</t>
  </si>
  <si>
    <t xml:space="preserve">O custo de uma matéria-prima é o preço da nota MENOS os créditos que a empresa aproveita. Usar o preço cheio infla o custo e mata projeto bom.  →  Aba 5 · colunas de imposto recuperável</t>
  </si>
  <si>
    <t xml:space="preserve">Frete de entrada e seguro sobre a compra</t>
  </si>
  <si>
    <t xml:space="preserve">Insumo importado ou de outro estado chega mais caro do que o preço de tabela do fornecedor.  →  Aba 5 · colunas de frete inbound</t>
  </si>
  <si>
    <t xml:space="preserve">Sobre-enchimento</t>
  </si>
  <si>
    <t xml:space="preserve">Encher 202 g para declarar 200 g é 1% de matéria-prima doada em todo lote.  →  Aba 5 · bloco 5.1</t>
  </si>
  <si>
    <t xml:space="preserve">Perdas e refugo por etapa</t>
  </si>
  <si>
    <t xml:space="preserve">Pesagem, fabricação, envase, encaixotamento e refugo de embalagem. Cada etapa come um pedaço.  →  Aba 5 · blocos 5.1, 5.2 e 5.3</t>
  </si>
  <si>
    <t xml:space="preserve">Setup, limpeza e troca de lote</t>
  </si>
  <si>
    <t xml:space="preserve">Higienização entre lotes é obrigatória em cosmético e em lote pequeno chega a custar mais que a produção.  →  Aba 5 · bloco 5.1</t>
  </si>
  <si>
    <t xml:space="preserve">Tamanho do lote</t>
  </si>
  <si>
    <t xml:space="preserve">MOD e GGF são rateados por hora ocupada. Sem definir o lote, o custo unitário é chute.  →  Aba 5 · bloco 5.1</t>
  </si>
  <si>
    <t xml:space="preserve">Análises de qualidade por lote e amostras de retenção</t>
  </si>
  <si>
    <t xml:space="preserve">Custo por lote e produto que sai do estoque sem virar venda.  →  Aba 5 · bloco 5.7</t>
  </si>
  <si>
    <t xml:space="preserve">Amortização de ferramental e moldes</t>
  </si>
  <si>
    <t xml:space="preserve">Investimento diluído nas unidades que o molde vai produzir.  →  Aba 5 · bloco 5.7</t>
  </si>
  <si>
    <t xml:space="preserve">Obsolescência e validade</t>
  </si>
  <si>
    <t xml:space="preserve">Embalagem encalhada por troca de arte e granel vencido.  →  Aba 5 · bloco 5.7</t>
  </si>
  <si>
    <t xml:space="preserve">Custo financeiro do estoque</t>
  </si>
  <si>
    <t xml:space="preserve">Dinheiro parado em matéria-prima e produto acabado tem custo, ainda mais com caixa curto.  →  Aba 5 · bloco 5.7</t>
  </si>
  <si>
    <t xml:space="preserve">Royalties e licenciamento</t>
  </si>
  <si>
    <t xml:space="preserve">Marca licenciada, personagem, fragrância exclusiva.  →  Aba 5 · bloco 5.7</t>
  </si>
  <si>
    <t xml:space="preserve">Terceirização por toll</t>
  </si>
  <si>
    <t xml:space="preserve">A taxa do terceirista já embute MOD e GGF. Somar os dois é contar duas vezes.  →  Aba 5 · bloco 5.7</t>
  </si>
  <si>
    <t xml:space="preserve">Utilidades e efluentes</t>
  </si>
  <si>
    <t xml:space="preserve">Água purificada, vapor, ar comprimido e tratamento de efluente são caros em linha de cosmético.  →  Aba 5 · bloco 5.6</t>
  </si>
  <si>
    <t xml:space="preserve">Capital de giro travado no lote mínimo</t>
  </si>
  <si>
    <t xml:space="preserve">O MOQ do fornecedor de embalagem costuma pesar mais no caixa do que o próprio ferramental.  →  Aba 4 e aba 6</t>
  </si>
  <si>
    <t xml:space="preserve">IPI e ICMS-ST</t>
  </si>
  <si>
    <t xml:space="preserve">São por fora: não entram na receita, mas inflam o preço na nota e definem o preço de prateleira.  →  Aba 5 · bloco 5.9</t>
  </si>
  <si>
    <t xml:space="preserve">Verbas, bonificação e devolução</t>
  </si>
  <si>
    <t xml:space="preserve">Deduzem receita sem aparecer no preço de tabela. É o vazamento invisível da margem.  →  Aba 5 · bloco 5.9</t>
  </si>
  <si>
    <t xml:space="preserve">Comissão e frete de saída</t>
  </si>
  <si>
    <t xml:space="preserve">Despesa variável de venda: entra depois da margem bruta, na margem de contribuição.  →  Aba 5 · bloco 5.9</t>
  </si>
  <si>
    <t xml:space="preserve">Diferença de alíquota por estado</t>
  </si>
  <si>
    <t xml:space="preserve">O mesmo produto tem margem diferente por UF. Rode a aba 5 uma vez por estado relevante.  →  Aba 5 · bloco 5.9</t>
  </si>
  <si>
    <t xml:space="preserve">PREMISSAS E FONTES</t>
  </si>
  <si>
    <t xml:space="preserve">Origem / observação</t>
  </si>
  <si>
    <t xml:space="preserve">Números de negócio (receita, margem, dívida, concentração de SKU)</t>
  </si>
  <si>
    <t xml:space="preserve">Contexto informado pelo usuário. Nenhum valor financeiro real foi preenchido no arquivo — todas as células de dinheiro estão em branco ou com exemplo ilustrativo marcado como tal.</t>
  </si>
  <si>
    <t xml:space="preserve">Linha de exemplo das tabelas</t>
  </si>
  <si>
    <t xml:space="preserve">Valores ILUSTRATIVOS, apenas para mostrar formato esperado. Apague antes de usar em projeto real.</t>
  </si>
  <si>
    <t xml:space="preserve">Referências regulatórias (aba 3)</t>
  </si>
  <si>
    <t xml:space="preserve">Marco legal brasileiro de HPPC: Lei 6.360/1976 e RDC ANVISA nº 752/2022. Vigência e enquadramento devem ser confirmados com Assuntos Regulatórios antes de cada submissão.</t>
  </si>
  <si>
    <t xml:space="preserve">Valores e prazos dos testes básicos (aba 3.3)</t>
  </si>
  <si>
    <t xml:space="preserve">Informados pela equipe técnica da Leite de Rosas: time kill R$ 1.264,00 / 30 dias; segurança dermatológica pós time kill R$ 600,00; sniff test com reemissões R$ 1.900,00; apreciabilidade cosmética R$ 1.350,00. Valor por variação de fórmula. Os prazos dos três últimos ainda não foram informados e estão marcados como pendência na própria aba.</t>
  </si>
  <si>
    <t xml:space="preserve">Dimensionamento de mercado (aba 2)</t>
  </si>
  <si>
    <t xml:space="preserve">Modelo bottom-up alimentado por premissas do próprio usuário. Substituir por dado de Nielsen/Scanntech/ABIHPEC quando disponível e citar a fonte na coluna prevista.</t>
  </si>
  <si>
    <t xml:space="preserve">Taxa de desconto e horizonte (aba 6)</t>
  </si>
  <si>
    <t xml:space="preserve">Premissa editável. Alinhar com o custo de capital praticado pela Diretoria Financeira.</t>
  </si>
  <si>
    <t xml:space="preserve">1 · BRIEFING DO PRODUTO</t>
  </si>
  <si>
    <t xml:space="preserve">Preencha as células amarelas. A coluna da direita explica o que se espera da resposta.</t>
  </si>
  <si>
    <t xml:space="preserve">1.1 IDENTIFICAÇÃO DO PROJETO</t>
  </si>
  <si>
    <t xml:space="preserve">Campo</t>
  </si>
  <si>
    <t xml:space="preserve">Resposta</t>
  </si>
  <si>
    <t xml:space="preserve">Orientação de preenchimento</t>
  </si>
  <si>
    <t xml:space="preserve">Código do projeto</t>
  </si>
  <si>
    <t xml:space="preserve">Padrão BRF_&lt;ano&gt;_&lt;nº sequencial&gt;. Ex.: BRF_2026_004.</t>
  </si>
  <si>
    <t xml:space="preserve">Nome de trabalho</t>
  </si>
  <si>
    <t xml:space="preserve">Nome interno, não é o nome comercial. Ex.: 'Desodorante Creme Sensitive'.</t>
  </si>
  <si>
    <t xml:space="preserve">Marca / arquitetura</t>
  </si>
  <si>
    <t xml:space="preserve">Leite de Rosas (extensão), Leite de Rosas sub-marca, marca do portfólio ou marca nova.</t>
  </si>
  <si>
    <t xml:space="preserve">Categoria HPPC</t>
  </si>
  <si>
    <t xml:space="preserve">Desodorante, higiene corporal, cuidado facial, cabelos, infantil, perfumaria, higiene íntima etc.</t>
  </si>
  <si>
    <t xml:space="preserve">Tipo de projeto</t>
  </si>
  <si>
    <t xml:space="preserve">Novo produto | Extensão de linha | Renovação de fórmula | Novo tamanho | Restyling de embalagem | Redução de custo.</t>
  </si>
  <si>
    <t xml:space="preserve">Solicitante / área</t>
  </si>
  <si>
    <t xml:space="preserve">Quem abriu a demanda e a área responsável pela defesa do projeto no gate.</t>
  </si>
  <si>
    <t xml:space="preserve">Patrocinador (Diretoria)</t>
  </si>
  <si>
    <t xml:space="preserve">Diretor que responde pelo projeto perante a Diretoria Executiva.</t>
  </si>
  <si>
    <t xml:space="preserve">Data de abertura</t>
  </si>
  <si>
    <t xml:space="preserve">Data em que o briefing foi aberto.</t>
  </si>
  <si>
    <t xml:space="preserve">Gate atual</t>
  </si>
  <si>
    <t xml:space="preserve">G0 Ideia | G1 Conceito | G2 Viabilidade | G3 Desenvolvimento | G4 Industrialização | G5 Lançamento.</t>
  </si>
  <si>
    <t xml:space="preserve">Prioridade declarada</t>
  </si>
  <si>
    <t xml:space="preserve">Alta | Média | Baixa. Prioridade declarada é hipótese; o Scorecard (aba 7) é o que vale.</t>
  </si>
  <si>
    <t xml:space="preserve">1.2 CONTEXTO E RACIONAL — POR QUE ESTE PRODUTO, POR QUE AGORA</t>
  </si>
  <si>
    <t xml:space="preserve">Problema ou oportunidade</t>
  </si>
  <si>
    <t xml:space="preserve">Uma frase objetiva. O que existe hoje no mercado ou no consumidor que justifica gastar dinheiro nisso.</t>
  </si>
  <si>
    <t xml:space="preserve">Por que agora</t>
  </si>
  <si>
    <t xml:space="preserve">Gatilho de timing: mudança de hábito, movimento de concorrente, janela de canal, sazonalidade, mudança regulatória.</t>
  </si>
  <si>
    <t xml:space="preserve">Encaixe estratégico</t>
  </si>
  <si>
    <t xml:space="preserve">Como reduz a concentração de faturamento em poucos SKUs, ou como defende o carro-chefe.</t>
  </si>
  <si>
    <t xml:space="preserve">O que acontece se não fizermos</t>
  </si>
  <si>
    <t xml:space="preserve">O custo de não fazer. Se a resposta for 'nada', o projeto provavelmente não deveria existir.</t>
  </si>
  <si>
    <t xml:space="preserve">Alavanca da marca usada</t>
  </si>
  <si>
    <t xml:space="preserve">Que ativo da Leite de Rosas o produto empresta: reconhecimento, território de frescor/cuidado, o rosa, tradição, distribuição.</t>
  </si>
  <si>
    <t xml:space="preserve">1.3 OBJETIVO E METAS</t>
  </si>
  <si>
    <t xml:space="preserve">Objetivo do produto (1 frase)</t>
  </si>
  <si>
    <t xml:space="preserve">Comece com um verbo. Ex.: 'Capturar o consumidor de pele sensível que hoje troca a marca por dermocosmético'.</t>
  </si>
  <si>
    <t xml:space="preserve">Meta de volume — Ano 1 (un.)</t>
  </si>
  <si>
    <t xml:space="preserve">Unidades vendidas no primeiro ano cheio. Este número alimenta a aba 6.</t>
  </si>
  <si>
    <t xml:space="preserve">Meta de receita líquida — Ano 1</t>
  </si>
  <si>
    <t xml:space="preserve">Deve bater com o resultado calculado na aba 6. Se não bater, uma das duas premissas está errada.</t>
  </si>
  <si>
    <t xml:space="preserve">Margem de contribuição-alvo (%)</t>
  </si>
  <si>
    <t xml:space="preserve">Piso de margem aceitável para o projeto seguir. Digite como percentual (ex.: 35%).</t>
  </si>
  <si>
    <t xml:space="preserve">Distribuição-alvo (nº de PDVs)</t>
  </si>
  <si>
    <t xml:space="preserve">Pontos de venda ativos ao fim do Ano 1.</t>
  </si>
  <si>
    <t xml:space="preserve">1.4 CONSUMIDOR E OCASIÃO DE USO</t>
  </si>
  <si>
    <t xml:space="preserve">Público-alvo primário</t>
  </si>
  <si>
    <t xml:space="preserve">Demografia + comportamento. Demografia sozinha não é público-alvo.</t>
  </si>
  <si>
    <t xml:space="preserve">Público-alvo secundário</t>
  </si>
  <si>
    <t xml:space="preserve">Quem também compra, mas não é para quem a comunicação fala.</t>
  </si>
  <si>
    <t xml:space="preserve">Ocasião e frequência de uso</t>
  </si>
  <si>
    <t xml:space="preserve">Quando, onde, quantas vezes. Define tamanho de embalagem e giro.</t>
  </si>
  <si>
    <t xml:space="preserve">Dor / tensão do consumidor</t>
  </si>
  <si>
    <t xml:space="preserve">A frustração real com as soluções atuais, na linguagem do consumidor.</t>
  </si>
  <si>
    <t xml:space="preserve">Insight</t>
  </si>
  <si>
    <t xml:space="preserve">A verdade não óbvia que conecta a dor ao produto. Se soa como slogan, ainda não é insight.</t>
  </si>
  <si>
    <t xml:space="preserve">Barreira de adoção esperada</t>
  </si>
  <si>
    <t xml:space="preserve">Preço, ceticismo quanto ao benefício, hábito consolidado, percepção de marca. E como derrubar.</t>
  </si>
  <si>
    <t xml:space="preserve">1.5 CONCEITO DE PRODUTO</t>
  </si>
  <si>
    <t xml:space="preserve">Conceito em uma frase</t>
  </si>
  <si>
    <t xml:space="preserve">O que é, para quem, e o que entrega de diferente. Uma frase, sem adjetivo vazio.</t>
  </si>
  <si>
    <t xml:space="preserve">Benefício principal</t>
  </si>
  <si>
    <t xml:space="preserve">Um só. O que o consumidor lembraria 3 dias depois.</t>
  </si>
  <si>
    <t xml:space="preserve">Benefícios secundários</t>
  </si>
  <si>
    <t xml:space="preserve">No máximo dois. O terceiro dilui os outros.</t>
  </si>
  <si>
    <t xml:space="preserve">Reason to believe (RTB)</t>
  </si>
  <si>
    <t xml:space="preserve">Por que acreditar: ativo, concentração, tecnologia, teste comprobatório, 96 anos de marca.</t>
  </si>
  <si>
    <t xml:space="preserve">Ativos / ingredientes-chave</t>
  </si>
  <si>
    <t xml:space="preserve">Nome INCI e função. Marcar o que for claim-driver, pois exige comprovação.</t>
  </si>
  <si>
    <t xml:space="preserve">Claims pretendidos</t>
  </si>
  <si>
    <t xml:space="preserve">Liste separando os claims de rotulagem dos claims publicitários. Cada um precisa de lastro (aba 3).</t>
  </si>
  <si>
    <t xml:space="preserve">Sensorial alvo</t>
  </si>
  <si>
    <t xml:space="preserve">Textura, absorção, toque residual, cor, fragrância e intensidade.</t>
  </si>
  <si>
    <t xml:space="preserve">Tamanhos / apresentações</t>
  </si>
  <si>
    <t xml:space="preserve">Grama­tura(s) e por que essa(s). Amarrar com ocasião de uso e preço de gôndola.</t>
  </si>
  <si>
    <t xml:space="preserve">Produto de referência (benchmark)</t>
  </si>
  <si>
    <t xml:space="preserve">O produto que o consumidor usaria no lugar deste. Serve de âncora sensorial e de preço.</t>
  </si>
  <si>
    <t xml:space="preserve">O que este produto NÃO é</t>
  </si>
  <si>
    <t xml:space="preserve">Delimitação explícita. Evita que o escopo cresça no meio do desenvolvimento.</t>
  </si>
  <si>
    <t xml:space="preserve">1.6 POSICIONAMENTO, PREÇO E CANAL</t>
  </si>
  <si>
    <t xml:space="preserve">Posicionamento em uma frase</t>
  </si>
  <si>
    <t xml:space="preserve">Para &lt;público&gt;, &lt;produto&gt; é a &lt;categoria&gt; que &lt;benefício&gt; porque &lt;RTB&gt;.</t>
  </si>
  <si>
    <t xml:space="preserve">Faixa de preço pretendida</t>
  </si>
  <si>
    <t xml:space="preserve">Popular | Mainstream | Premium acessível | Premium. Coerente com marca e canal.</t>
  </si>
  <si>
    <t xml:space="preserve">Canal prioritário</t>
  </si>
  <si>
    <t xml:space="preserve">Farma | Atacarejo | Supermercado | Varejo tradicional | Distribuidor | E-commerce/marketplace | Perfumaria.</t>
  </si>
  <si>
    <t xml:space="preserve">Canais secundários</t>
  </si>
  <si>
    <t xml:space="preserve">Onde entra depois, e em que ordem.</t>
  </si>
  <si>
    <t xml:space="preserve">Regiões prioritárias</t>
  </si>
  <si>
    <t xml:space="preserve">Onde a distribuição já é forte tende a ser onde o lançamento custa menos.</t>
  </si>
  <si>
    <t xml:space="preserve">Quais SKUs próprios podem perder volume, e qual perda é aceitável.</t>
  </si>
  <si>
    <t xml:space="preserve">1.7 RESTRIÇÕES E CONDIÇÕES DE CONTORNO</t>
  </si>
  <si>
    <t xml:space="preserve">Make or buy</t>
  </si>
  <si>
    <t xml:space="preserve">Produção interna | Terceirização (co-packer) | Híbrido. Terceirizar preserva caixa e acelera; interna dilui fixo.</t>
  </si>
  <si>
    <t xml:space="preserve">Capex máximo autorizado</t>
  </si>
  <si>
    <t xml:space="preserve">Teto de investimento em ativo e ferramental. Confrontar com a aba 6.</t>
  </si>
  <si>
    <t xml:space="preserve">Prazo máximo até o lançamento</t>
  </si>
  <si>
    <t xml:space="preserve">Em meses. Confrontar com o cronograma da aba 8.</t>
  </si>
  <si>
    <t xml:space="preserve">Restrições fabris / logísticas</t>
  </si>
  <si>
    <t xml:space="preserve">Limitações de linha, envase, capacidade, paletização, armazenagem.</t>
  </si>
  <si>
    <t xml:space="preserve">Restrições regulatórias</t>
  </si>
  <si>
    <t xml:space="preserve">Grau de risco, exigência de registro ou notificação, claims que demandam comprovação.</t>
  </si>
  <si>
    <t xml:space="preserve">Restrições de marca / jurídico</t>
  </si>
  <si>
    <t xml:space="preserve">Registro de marca, colidência, uso do rosa institucional, trade dress.</t>
  </si>
  <si>
    <t xml:space="preserve">1.8 MÉTRICAS DE SUCESSO E CRITÉRIO DE MORTE</t>
  </si>
  <si>
    <t xml:space="preserve">KPI primário</t>
  </si>
  <si>
    <t xml:space="preserve">Uma métrica só. Ex.: unidades/mês no 6º mês; margem de contribuição %; nº de PDVs ativos.</t>
  </si>
  <si>
    <t xml:space="preserve">KPIs secundários</t>
  </si>
  <si>
    <t xml:space="preserve">No máximo três, com meta numérica e data.</t>
  </si>
  <si>
    <t xml:space="preserve">Critério de kill</t>
  </si>
  <si>
    <t xml:space="preserve">A condição objetiva que encerra o projeto. Definida antes, não depois. Ex.: 'MC &lt; 25% no teste de custo real'.</t>
  </si>
  <si>
    <t xml:space="preserve">Data da primeira revisão</t>
  </si>
  <si>
    <t xml:space="preserve">Quando o time volta a olhar os KPIs com o produto na rua.</t>
  </si>
  <si>
    <t xml:space="preserve">1.9 PAINEL CONSOLIDADO — CALCULADO PELAS DEMAIS ABAS</t>
  </si>
  <si>
    <t xml:space="preserve">Indicador</t>
  </si>
  <si>
    <t xml:space="preserve">Valor</t>
  </si>
  <si>
    <t xml:space="preserve">Origem</t>
  </si>
  <si>
    <t xml:space="preserve">SOM — receita capturável no Ano 1</t>
  </si>
  <si>
    <t xml:space="preserve">Aba 2 · dimensionamento</t>
  </si>
  <si>
    <t xml:space="preserve">Preço de prateleira alvo</t>
  </si>
  <si>
    <t xml:space="preserve">Aba 5 · precificação</t>
  </si>
  <si>
    <t xml:space="preserve">Custo industrial unitário (CPV)</t>
  </si>
  <si>
    <t xml:space="preserve">Aba 5 · ficha de custo</t>
  </si>
  <si>
    <t xml:space="preserve">· matérias-primas da fórmula</t>
  </si>
  <si>
    <t xml:space="preserve">Aba 5 · participação no CPV</t>
  </si>
  <si>
    <t xml:space="preserve">· embalagem</t>
  </si>
  <si>
    <t xml:space="preserve">· mão de obra direta</t>
  </si>
  <si>
    <t xml:space="preserve">· gastos gerais de fabricação</t>
  </si>
  <si>
    <t xml:space="preserve">· outros custos de produção</t>
  </si>
  <si>
    <t xml:space="preserve">Preço de tabela</t>
  </si>
  <si>
    <t xml:space="preserve">Aba 5 · impostos de venda</t>
  </si>
  <si>
    <t xml:space="preserve">Valor total na nota (com IPI e ST)</t>
  </si>
  <si>
    <t xml:space="preserve">Margem bruta (%)</t>
  </si>
  <si>
    <t xml:space="preserve">Aba 5 · margem</t>
  </si>
  <si>
    <t xml:space="preserve">Margem de contribuição (%)</t>
  </si>
  <si>
    <t xml:space="preserve">Veredito de precificação</t>
  </si>
  <si>
    <t xml:space="preserve">Aba 5 · regra automática</t>
  </si>
  <si>
    <t xml:space="preserve">Volume mensal de equilíbrio</t>
  </si>
  <si>
    <t xml:space="preserve">Aba 5 · ponto de equilíbrio</t>
  </si>
  <si>
    <t xml:space="preserve">Investimento total (Ano 0)</t>
  </si>
  <si>
    <t xml:space="preserve">Aba 6 · investimento</t>
  </si>
  <si>
    <t xml:space="preserve">VPL</t>
  </si>
  <si>
    <t xml:space="preserve">Aba 6 · indicadores</t>
  </si>
  <si>
    <t xml:space="preserve">TIR</t>
  </si>
  <si>
    <t xml:space="preserve">Payback (anos)</t>
  </si>
  <si>
    <t xml:space="preserve">Score de priorização</t>
  </si>
  <si>
    <t xml:space="preserve">Aba 7 · scorecard</t>
  </si>
  <si>
    <t xml:space="preserve">Classificação do projeto</t>
  </si>
  <si>
    <t xml:space="preserve">Duração total do cronograma (meses)</t>
  </si>
  <si>
    <t xml:space="preserve">Aba 8 · cronograma</t>
  </si>
  <si>
    <t xml:space="preserve">Data prevista de gôndola</t>
  </si>
  <si>
    <t xml:space="preserve">Riscos críticos ou altos</t>
  </si>
  <si>
    <t xml:space="preserve">Aba 9 · matriz de riscos</t>
  </si>
  <si>
    <t xml:space="preserve">Prontidão do checklist de gate</t>
  </si>
  <si>
    <t xml:space="preserve">Aba 10 · checklist</t>
  </si>
  <si>
    <t xml:space="preserve">Este painel é o resumo de uma página do projeto. Se ele não convence em 30 segundos, o projeto ainda não está pronto para o comitê.</t>
  </si>
  <si>
    <t xml:space="preserve">2 · MERCADO, DIMENSIONAMENTO E BENCHMARK</t>
  </si>
  <si>
    <t xml:space="preserve">Modelo bottom-up. Troque toda premissa estimada por dado de pesquisa assim que houver, e registre a fonte.</t>
  </si>
  <si>
    <t xml:space="preserve">2.1 DIMENSIONAMENTO DA OPORTUNIDADE (TAM · SAM · SOM)</t>
  </si>
  <si>
    <t xml:space="preserve">Premissa</t>
  </si>
  <si>
    <t xml:space="preserve">Unidade</t>
  </si>
  <si>
    <t xml:space="preserve">Fonte / justificativa</t>
  </si>
  <si>
    <t xml:space="preserve">População do público-alvo</t>
  </si>
  <si>
    <t xml:space="preserve">pessoas</t>
  </si>
  <si>
    <t xml:space="preserve">IBGE / painel de consumo. Recorte de idade, gênero, classe e região.</t>
  </si>
  <si>
    <t xml:space="preserve">Penetração da categoria</t>
  </si>
  <si>
    <t xml:space="preserve">% da pop.</t>
  </si>
  <si>
    <t xml:space="preserve">Percentual do público que compra a categoria em um ano.</t>
  </si>
  <si>
    <t xml:space="preserve">Consumidores da categoria</t>
  </si>
  <si>
    <t xml:space="preserve">Calculado: população × penetração.</t>
  </si>
  <si>
    <t xml:space="preserve">Frequência de compra</t>
  </si>
  <si>
    <t xml:space="preserve">un./ano</t>
  </si>
  <si>
    <t xml:space="preserve">Quantas unidades o mesmo consumidor compra por ano.</t>
  </si>
  <si>
    <t xml:space="preserve">Volume potencial da categoria</t>
  </si>
  <si>
    <t xml:space="preserve">Calculado: consumidores × frequência.</t>
  </si>
  <si>
    <t xml:space="preserve">Preço médio de gôndola da categoria</t>
  </si>
  <si>
    <t xml:space="preserve">R$/un.</t>
  </si>
  <si>
    <t xml:space="preserve">Puxe da média do benchmark em 2.2 ou de coleta própria de PDV.</t>
  </si>
  <si>
    <t xml:space="preserve">TAM — mercado potencial total</t>
  </si>
  <si>
    <t xml:space="preserve">R$/ano</t>
  </si>
  <si>
    <t xml:space="preserve">Calculado: volume potencial × preço médio.</t>
  </si>
  <si>
    <t xml:space="preserve">Cobertura de distribuição alcançável</t>
  </si>
  <si>
    <t xml:space="preserve">% do TAM</t>
  </si>
  <si>
    <t xml:space="preserve">Fatia do mercado que a nossa distribuição de fato consegue tocar.</t>
  </si>
  <si>
    <t xml:space="preserve">SAM — mercado endereçável</t>
  </si>
  <si>
    <t xml:space="preserve">Calculado: TAM × cobertura.</t>
  </si>
  <si>
    <t xml:space="preserve">Share-alvo dentro do SAM (Ano 1)</t>
  </si>
  <si>
    <t xml:space="preserve">%</t>
  </si>
  <si>
    <t xml:space="preserve">Seja conservador. Share de lançamento raramente passa de 1 dígito no Ano 1.</t>
  </si>
  <si>
    <t xml:space="preserve">Calculado: SAM × share-alvo. Este é o teto realista da meta.</t>
  </si>
  <si>
    <t xml:space="preserve">SOM em unidades</t>
  </si>
  <si>
    <t xml:space="preserve">Calculado: SOM ÷ preço médio. Compare com a meta de volume do briefing.</t>
  </si>
  <si>
    <t xml:space="preserve">Meta de volume declarada no briefing</t>
  </si>
  <si>
    <t xml:space="preserve">Puxado da aba 1 (célula 1.3).</t>
  </si>
  <si>
    <t xml:space="preserve">Consistência meta × SOM</t>
  </si>
  <si>
    <t xml:space="preserve">desvio</t>
  </si>
  <si>
    <t xml:space="preserve">Acima de 0% a meta é maior que o mercado capturável estimado. Ou a meta cai, ou a premissa sobe — com justificativa.</t>
  </si>
  <si>
    <t xml:space="preserve">2.2 BENCHMARK COMPETITIVO — O QUE O CONSUMIDOR COMPRA HOJE</t>
  </si>
  <si>
    <t xml:space="preserve">Marca</t>
  </si>
  <si>
    <t xml:space="preserve">SKU / descrição</t>
  </si>
  <si>
    <t xml:space="preserve">Tamanho (ml ou g)</t>
  </si>
  <si>
    <t xml:space="preserve">Preço gôndola (R$)</t>
  </si>
  <si>
    <t xml:space="preserve">Preço por 100 ml/g (R$)</t>
  </si>
  <si>
    <t xml:space="preserve">Canal onde foi coletado</t>
  </si>
  <si>
    <t xml:space="preserve">Posicionamento</t>
  </si>
  <si>
    <t xml:space="preserve">Diferencial declarado no rótulo</t>
  </si>
  <si>
    <t xml:space="preserve">Data e fonte da coleta</t>
  </si>
  <si>
    <t xml:space="preserve">[EXEMPLO — apagar]</t>
  </si>
  <si>
    <t xml:space="preserve">Creme hidratante corporal 200 g</t>
  </si>
  <si>
    <t xml:space="preserve">Atacarejo</t>
  </si>
  <si>
    <t xml:space="preserve">Mainstream</t>
  </si>
  <si>
    <t xml:space="preserve">Hidratação 24h</t>
  </si>
  <si>
    <t xml:space="preserve">01/03/2026 — coleta PDV</t>
  </si>
  <si>
    <t xml:space="preserve">Média do mercado</t>
  </si>
  <si>
    <t xml:space="preserve">Média simples dos SKUs listados acima.</t>
  </si>
  <si>
    <t xml:space="preserve">Menor preço por 100 ml/g</t>
  </si>
  <si>
    <t xml:space="preserve">Piso da categoria — referência de entrada.</t>
  </si>
  <si>
    <t xml:space="preserve">Maior preço por 100 ml/g</t>
  </si>
  <si>
    <t xml:space="preserve">Teto da categoria — referência de premium.</t>
  </si>
  <si>
    <t xml:space="preserve">SKUs mapeados</t>
  </si>
  <si>
    <t xml:space="preserve">Abaixo de 5 SKUs, o benchmark não sustenta decisão de preço.</t>
  </si>
  <si>
    <t xml:space="preserve">2.3 LEITURA COMPETITIVA</t>
  </si>
  <si>
    <t xml:space="preserve">Pergunta</t>
  </si>
  <si>
    <t xml:space="preserve">Que espaço a categoria deixa vago (benefício, preço, tamanho, público)?</t>
  </si>
  <si>
    <t xml:space="preserve">Por que o líder é líder — preço, distribuição, marca ou produto?</t>
  </si>
  <si>
    <t xml:space="preserve">O que a Leite de Rosas tem que nenhum concorrente consegue copiar rápido?</t>
  </si>
  <si>
    <t xml:space="preserve">Qual concorrente reage primeiro e como (preço, verba, cópia de conceito)?</t>
  </si>
  <si>
    <t xml:space="preserve">Qual é a nossa vantagem sustentável depois de 12 meses de reação?</t>
  </si>
  <si>
    <t xml:space="preserve">3 · FORMULAÇÃO, TESTES E REGULATÓRIO</t>
  </si>
  <si>
    <t xml:space="preserve">Especificação técnica alvo, plano de testes e trilha regulatória. Toda referência normativa deve ser confirmada com Assuntos Regulatórios.</t>
  </si>
  <si>
    <t xml:space="preserve">3.1 ESPECIFICAÇÃO TÉCNICA ALVO</t>
  </si>
  <si>
    <t xml:space="preserve">Parâmetro</t>
  </si>
  <si>
    <t xml:space="preserve">Alvo</t>
  </si>
  <si>
    <t xml:space="preserve">Faixa aceitável</t>
  </si>
  <si>
    <t xml:space="preserve">Método / observação</t>
  </si>
  <si>
    <t xml:space="preserve">Forma cosmética</t>
  </si>
  <si>
    <t xml:space="preserve">Creme, loção, gel, emulsão O/A ou A/O, sabonete, aerossol, roll-on, stick.</t>
  </si>
  <si>
    <t xml:space="preserve">pH</t>
  </si>
  <si>
    <t xml:space="preserve">Coerente com o local de aplicação e com o sistema conservante.</t>
  </si>
  <si>
    <t xml:space="preserve">Viscosidade</t>
  </si>
  <si>
    <t xml:space="preserve">Informar aparelho, spindle e rotação usados na leitura.</t>
  </si>
  <si>
    <t xml:space="preserve">Densidade</t>
  </si>
  <si>
    <t xml:space="preserve">Impacta enchimento nominal e custo por unidade.</t>
  </si>
  <si>
    <t xml:space="preserve">Cor e aspecto</t>
  </si>
  <si>
    <t xml:space="preserve">Descrição visual e padrão de referência.</t>
  </si>
  <si>
    <t xml:space="preserve">Fragrância</t>
  </si>
  <si>
    <t xml:space="preserve">Fornecedor, código, dosagem e alergênicos a declarar.</t>
  </si>
  <si>
    <t xml:space="preserve">Sistema conservante</t>
  </si>
  <si>
    <t xml:space="preserve">Definir com o microbiologista; precisa passar no desafio microbiológico.</t>
  </si>
  <si>
    <t xml:space="preserve">Teor de ativo claim-driver</t>
  </si>
  <si>
    <t xml:space="preserve">O percentual que sustenta o claim. Sem isso, o claim não se defende.</t>
  </si>
  <si>
    <t xml:space="preserve">Vida útil pretendida</t>
  </si>
  <si>
    <t xml:space="preserve">Prazo de validade alvo; precisa de lastro em estabilidade.</t>
  </si>
  <si>
    <t xml:space="preserve">Condições de armazenagem</t>
  </si>
  <si>
    <t xml:space="preserve">Temperatura e umidade recomendadas.</t>
  </si>
  <si>
    <t xml:space="preserve">Restrições de fórmula</t>
  </si>
  <si>
    <t xml:space="preserve">Vegano, sem parabenos, sem álcool, hipoalergênico, sem teste animal, biodegradável.</t>
  </si>
  <si>
    <t xml:space="preserve">3.2 TRILHA REGULATÓRIA (BRASIL)</t>
  </si>
  <si>
    <t xml:space="preserve">Situação</t>
  </si>
  <si>
    <t xml:space="preserve">Responsável</t>
  </si>
  <si>
    <t xml:space="preserve">Prazo</t>
  </si>
  <si>
    <t xml:space="preserve">Referência de apoio (confirmar vigência)</t>
  </si>
  <si>
    <t xml:space="preserve">Custo estimado (R$)</t>
  </si>
  <si>
    <t xml:space="preserve">Concluído?</t>
  </si>
  <si>
    <t xml:space="preserve">Enquadramento do grau de risco (1 ou 2)</t>
  </si>
  <si>
    <t xml:space="preserve">RDC ANVISA nº 752/2022</t>
  </si>
  <si>
    <t xml:space="preserve">Definição do caminho: notificação ou registro</t>
  </si>
  <si>
    <t xml:space="preserve">Empresa com AFE/licença compatível</t>
  </si>
  <si>
    <t xml:space="preserve">Lei 6.360/1976</t>
  </si>
  <si>
    <t xml:space="preserve">Fórmula qualitativa e quantitativa aprovada</t>
  </si>
  <si>
    <t xml:space="preserve">Dossiê técnico interno</t>
  </si>
  <si>
    <t xml:space="preserve">Verificação de substâncias restritas/proibidas</t>
  </si>
  <si>
    <t xml:space="preserve">Listas ANVISA vigentes</t>
  </si>
  <si>
    <t xml:space="preserve">Rotulagem obrigatória revisada</t>
  </si>
  <si>
    <t xml:space="preserve">Norma de rotulagem vigente</t>
  </si>
  <si>
    <t xml:space="preserve">Comprovação de cada claim pretendido</t>
  </si>
  <si>
    <t xml:space="preserve">Guia de claims / CONAR</t>
  </si>
  <si>
    <t xml:space="preserve">Estudo de estabilidade (acelerada e normal)</t>
  </si>
  <si>
    <t xml:space="preserve">Guia de estabilidade — ANVISA</t>
  </si>
  <si>
    <t xml:space="preserve">Compatibilidade fórmula × embalagem</t>
  </si>
  <si>
    <t xml:space="preserve">Protocolo interno</t>
  </si>
  <si>
    <t xml:space="preserve">Desafio microbiológico (challenge test)</t>
  </si>
  <si>
    <t xml:space="preserve">Protocolo interno / farmacopeia</t>
  </si>
  <si>
    <t xml:space="preserve">Avaliação de segurança</t>
  </si>
  <si>
    <t xml:space="preserve">Guia de segurança — ANVISA</t>
  </si>
  <si>
    <t xml:space="preserve">Teste dermatológico / de irritabilidade</t>
  </si>
  <si>
    <t xml:space="preserve">Laboratório clínico credenciado</t>
  </si>
  <si>
    <t xml:space="preserve">Registro de marca e busca de colidência</t>
  </si>
  <si>
    <t xml:space="preserve">INPI</t>
  </si>
  <si>
    <t xml:space="preserve">Código de barras (GTIN) das apresentações</t>
  </si>
  <si>
    <t xml:space="preserve">GS1 Brasil</t>
  </si>
  <si>
    <t xml:space="preserve">Requisitos específicos do canal</t>
  </si>
  <si>
    <t xml:space="preserve">Exigência de cliente</t>
  </si>
  <si>
    <t xml:space="preserve">Custo regulatório total</t>
  </si>
  <si>
    <t xml:space="preserve">Soma da coluna. Este valor entra como investimento no Ano 0 (aba 6).</t>
  </si>
  <si>
    <t xml:space="preserve">Avanço da trilha regulatória</t>
  </si>
  <si>
    <t xml:space="preserve">Itens "Sim" sobre o total aplicável.</t>
  </si>
  <si>
    <t xml:space="preserve">3.3 TESTES BÁSICOS — CATÁLOGO PADRÃO APLICÁVEL A TODO O PORTFÓLIO</t>
  </si>
  <si>
    <t xml:space="preserve">Comentário</t>
  </si>
  <si>
    <t xml:space="preserve">Nº de variações de fórmula a testar</t>
  </si>
  <si>
    <t xml:space="preserve">Este número alimenta automaticamente a coluna de variações da tabela abaixo.</t>
  </si>
  <si>
    <t xml:space="preserve">Teste básico</t>
  </si>
  <si>
    <t xml:space="preserve">Nº de variações</t>
  </si>
  <si>
    <t xml:space="preserve">Valor unitário (R$/fórmula)</t>
  </si>
  <si>
    <t xml:space="preserve">Custo total (R$)</t>
  </si>
  <si>
    <t xml:space="preserve">Prazo (dias)</t>
  </si>
  <si>
    <t xml:space="preserve">O que decide</t>
  </si>
  <si>
    <t xml:space="preserve">Fonte do valor e do prazo</t>
  </si>
  <si>
    <t xml:space="preserve">Time kill</t>
  </si>
  <si>
    <t xml:space="preserve">Valida o desempenho antimicrobiano da fórmula ao longo do tempo de contato.</t>
  </si>
  <si>
    <t xml:space="preserve">Valor e prazo informados pela equipe.</t>
  </si>
  <si>
    <t xml:space="preserve">Teste de segurança após time kill (dermatológico)</t>
  </si>
  <si>
    <t xml:space="preserve">Confirma a segurança cutânea da fórmula aprovada no time kill. Só começa depois dele.</t>
  </si>
  <si>
    <t xml:space="preserve">Valor informado pela equipe. PRAZO A CONFIRMAR com o laboratório.</t>
  </si>
  <si>
    <t xml:space="preserve">Eficácia (sniff test) + reemissões</t>
  </si>
  <si>
    <t xml:space="preserve">Avalia a performance percebida de fragrância, incluindo as reemissões previstas no pacote.</t>
  </si>
  <si>
    <t xml:space="preserve">Apreciabilidade cosmética (user experience)</t>
  </si>
  <si>
    <t xml:space="preserve">Mede a aceitação sensorial e a experiência de uso do produto.</t>
  </si>
  <si>
    <t xml:space="preserve">Subtotal dos testes básicos</t>
  </si>
  <si>
    <t xml:space="preserve">Custo do pacote básico para o número de variações informado.</t>
  </si>
  <si>
    <t xml:space="preserve">Coluna de prazo somada como cenário sequencial.</t>
  </si>
  <si>
    <t xml:space="preserve">Custo básico por variação de fórmula</t>
  </si>
  <si>
    <t xml:space="preserve">Referência rápida: quanto custa testar uma fórmula a mais.</t>
  </si>
  <si>
    <t xml:space="preserve">Prazo em cenário paralelo (maior teste individual).</t>
  </si>
  <si>
    <t xml:space="preserve">Pendência de prazo</t>
  </si>
  <si>
    <t xml:space="preserve">Sequenciamento: o teste de segurança dermatológico só começa depois do time kill, então esses dois são obrigatoriamente sequenciais. Sniff test e apreciabilidade cosmética podem correr em paralelo com eles. Use a linha de prazo sequencial como teto e a de prazo paralelo como piso ao montar o cronograma.</t>
  </si>
  <si>
    <t xml:space="preserve">3.4 TESTES ESPECÍFICOS POR TIPO DE PRODUTO E COMPLEMENTARES</t>
  </si>
  <si>
    <t xml:space="preserve">Teste</t>
  </si>
  <si>
    <t xml:space="preserve">Tipo de produto / aplicação</t>
  </si>
  <si>
    <t xml:space="preserve">Valor unitário (R$)</t>
  </si>
  <si>
    <t xml:space="preserve">Laboratório / fornecedor</t>
  </si>
  <si>
    <t xml:space="preserve">Estabilidade acelerada</t>
  </si>
  <si>
    <t xml:space="preserve">Todos</t>
  </si>
  <si>
    <t xml:space="preserve">Antecipa separação, alteração de cor, odor e pH.</t>
  </si>
  <si>
    <t xml:space="preserve">Estabilidade normal / prateleira</t>
  </si>
  <si>
    <t xml:space="preserve">Confirma a validade que vai no rótulo.</t>
  </si>
  <si>
    <t xml:space="preserve">Compatibilidade com a embalagem</t>
  </si>
  <si>
    <t xml:space="preserve">Migração, deformação, perda de fragrância, alteração de cor.</t>
  </si>
  <si>
    <t xml:space="preserve">Valida o sistema conservante ao longo da vida útil.</t>
  </si>
  <si>
    <t xml:space="preserve">Eficácia antitranspirante / gravimetria</t>
  </si>
  <si>
    <t xml:space="preserve">Desodorante antitranspirante</t>
  </si>
  <si>
    <t xml:space="preserve">Sustenta claim de proteção e de duração.</t>
  </si>
  <si>
    <t xml:space="preserve">Teste de válvula, pressão e vazão</t>
  </si>
  <si>
    <t xml:space="preserve">Aerossol e sprays</t>
  </si>
  <si>
    <t xml:space="preserve">Segurança e desempenho do sistema pressurizado.</t>
  </si>
  <si>
    <t xml:space="preserve">Granulometria e escoamento</t>
  </si>
  <si>
    <t xml:space="preserve">Talcos e pós</t>
  </si>
  <si>
    <t xml:space="preserve">Sensorial, uniformidade de aplicação e envase.</t>
  </si>
  <si>
    <t xml:space="preserve">Viscosidade e estabilidade de emulsão em ciclos</t>
  </si>
  <si>
    <t xml:space="preserve">Desodorante líquido, loções e cremes</t>
  </si>
  <si>
    <t xml:space="preserve">Comportamento sob variação térmica.</t>
  </si>
  <si>
    <t xml:space="preserve">Teste de espuma e enxágue</t>
  </si>
  <si>
    <t xml:space="preserve">Sabonetes e produtos de banho</t>
  </si>
  <si>
    <t xml:space="preserve">Percepção de rendimento e limpeza.</t>
  </si>
  <si>
    <t xml:space="preserve">Teste de manchamento em tecido</t>
  </si>
  <si>
    <t xml:space="preserve">Desodorantes e cremes</t>
  </si>
  <si>
    <t xml:space="preserve">Reclamação recorrente da categoria.</t>
  </si>
  <si>
    <t xml:space="preserve">Teste de uso em casa (HUT)</t>
  </si>
  <si>
    <t xml:space="preserve">Verifica se o produto entrega na rotina real.</t>
  </si>
  <si>
    <t xml:space="preserve">Teste de conceito com consumidor</t>
  </si>
  <si>
    <t xml:space="preserve">Intenção de compra e clareza do benefício.</t>
  </si>
  <si>
    <t xml:space="preserve">Piloto industrial (scale-up)</t>
  </si>
  <si>
    <t xml:space="preserve">Prova que a fórmula se reproduz na escala real.</t>
  </si>
  <si>
    <t xml:space="preserve">Teste de transporte e paletização</t>
  </si>
  <si>
    <t xml:space="preserve">Evita avaria e vazamento na distribuição.</t>
  </si>
  <si>
    <t xml:space="preserve">Subtotal dos testes específicos</t>
  </si>
  <si>
    <t xml:space="preserve">Custo total já multiplicado pelo número de variações.</t>
  </si>
  <si>
    <t xml:space="preserve">3.5 CONSOLIDAÇÃO DO PLANO DE TESTES</t>
  </si>
  <si>
    <t xml:space="preserve">Consolidado</t>
  </si>
  <si>
    <t xml:space="preserve">Custo total do plano de testes</t>
  </si>
  <si>
    <t xml:space="preserve">Básicos + específicos. Entra como investimento no Ano 0 da aba 6.</t>
  </si>
  <si>
    <t xml:space="preserve">Prazo do plano — cenário sequencial</t>
  </si>
  <si>
    <t xml:space="preserve">Teto: um teste depois do outro. Em dias.</t>
  </si>
  <si>
    <t xml:space="preserve">Prazo do plano — cenário paralelo</t>
  </si>
  <si>
    <t xml:space="preserve">Piso: maior teste individual. O prazo real fica entre os dois. Em dias.</t>
  </si>
  <si>
    <t xml:space="preserve">Custo de testes por variação adicional</t>
  </si>
  <si>
    <t xml:space="preserve">Quanto custa levar mais uma fórmula candidata até o fim do plano. Use este número para decidir quantas variações vale a pena testar.</t>
  </si>
  <si>
    <t xml:space="preserve">4 · EMBALAGEM, ROTULAGEM E LOGÍSTICA</t>
  </si>
  <si>
    <t xml:space="preserve">O custo unitário lançado aqui alimenta automaticamente o BOM da aba 5. O ferramental alimenta o investimento da aba 6.</t>
  </si>
  <si>
    <t xml:space="preserve">4.1 ESTRUTURA DE EMBALAGEM, FORNECIMENTO E FERRAMENTAL</t>
  </si>
  <si>
    <t xml:space="preserve">Esta aba trata de especificação, fornecedor, lote mínimo, prazo e ferramental. O custo por componente é lançado na aba 5 (bloco 5.3), que é a fonte única de custo — aqui o total aparece apenas como consulta.</t>
  </si>
  <si>
    <t xml:space="preserve">Componente</t>
  </si>
  <si>
    <t xml:space="preserve">Material</t>
  </si>
  <si>
    <t xml:space="preserve">Especificação</t>
  </si>
  <si>
    <t xml:space="preserve">Fornecedor</t>
  </si>
  <si>
    <t xml:space="preserve">MOQ (un.)</t>
  </si>
  <si>
    <t xml:space="preserve">Lead time (dias)</t>
  </si>
  <si>
    <t xml:space="preserve">Nível na embalagem</t>
  </si>
  <si>
    <t xml:space="preserve">Ferramental / capex (R$)</t>
  </si>
  <si>
    <t xml:space="preserve">Un. por caixa</t>
  </si>
  <si>
    <t xml:space="preserve">Embalagem primária (frasco/pote/bisnaga)</t>
  </si>
  <si>
    <t xml:space="preserve">PEAD, PET, PP, vidro, alumínio</t>
  </si>
  <si>
    <t xml:space="preserve">Tampa / válvula / dosador</t>
  </si>
  <si>
    <t xml:space="preserve">Rosca, flip-top, pump, spray, roll-on</t>
  </si>
  <si>
    <t xml:space="preserve">Vedação / lacre</t>
  </si>
  <si>
    <t xml:space="preserve">Selo de indução, lacre de segurança</t>
  </si>
  <si>
    <t xml:space="preserve">Rótulo ou decoração</t>
  </si>
  <si>
    <t xml:space="preserve">Autoadesivo, sleeve, serigrafia, in-mould</t>
  </si>
  <si>
    <t xml:space="preserve">Cartucho / estojo</t>
  </si>
  <si>
    <t xml:space="preserve">Cartão duplex, quando houver</t>
  </si>
  <si>
    <t xml:space="preserve">Caixa de embarque</t>
  </si>
  <si>
    <t xml:space="preserve">Papelão ondulado; define paletização</t>
  </si>
  <si>
    <t xml:space="preserve">Filme / material de palete</t>
  </si>
  <si>
    <t xml:space="preserve">Stretch, cantoneira</t>
  </si>
  <si>
    <t xml:space="preserve">Outro componente</t>
  </si>
  <si>
    <t xml:space="preserve">Brinde, aplicador, encarte</t>
  </si>
  <si>
    <t xml:space="preserve">Custo de embalagem por unidade (calculado na aba 5)</t>
  </si>
  <si>
    <t xml:space="preserve">Maior lead time (caminho crítico de suprimentos)</t>
  </si>
  <si>
    <t xml:space="preserve">Maior MOQ (lote mínimo que trava o projeto)</t>
  </si>
  <si>
    <t xml:space="preserve">Capital imobilizado no primeiro lote de embalagem</t>
  </si>
  <si>
    <t xml:space="preserve">MOQ máximo × custo de embalagem por unidade. Em cenário de caixa curto, este número costuma pesar mais que o ferramental.</t>
  </si>
  <si>
    <t xml:space="preserve">4.2 ROTULAGEM — CHECKLIST DE CONTEÚDO OBRIGATÓRIO E DE MARCA</t>
  </si>
  <si>
    <t xml:space="preserve">Item do rótulo</t>
  </si>
  <si>
    <t xml:space="preserve">Está previsto na arte?</t>
  </si>
  <si>
    <t xml:space="preserve">Observação</t>
  </si>
  <si>
    <t xml:space="preserve">Nome do produto e função</t>
  </si>
  <si>
    <t xml:space="preserve">Marca e identidade visual conforme manual (rosa institucional)</t>
  </si>
  <si>
    <t xml:space="preserve">Conteúdo nominal</t>
  </si>
  <si>
    <t xml:space="preserve">Composição completa em nomenclatura INCI</t>
  </si>
  <si>
    <t xml:space="preserve">Modo de uso</t>
  </si>
  <si>
    <t xml:space="preserve">Advertências e restrições de uso</t>
  </si>
  <si>
    <t xml:space="preserve">Lote e prazo de validade</t>
  </si>
  <si>
    <t xml:space="preserve">Identificação do fabricante ou importador e CNPJ</t>
  </si>
  <si>
    <t xml:space="preserve">Responsável técnico</t>
  </si>
  <si>
    <t xml:space="preserve">SAC, e-mail e site</t>
  </si>
  <si>
    <t xml:space="preserve">Número de notificação ou registro, quando exigido</t>
  </si>
  <si>
    <t xml:space="preserve">Código de barras GTIN</t>
  </si>
  <si>
    <t xml:space="preserve">Origem do produto</t>
  </si>
  <si>
    <t xml:space="preserve">Selos e certificações (vegano, cruelty-free, reciclável) com lastro</t>
  </si>
  <si>
    <t xml:space="preserve">Claims aprovados pelo regulatório e pelo jurídico</t>
  </si>
  <si>
    <t xml:space="preserve">Completude da arte</t>
  </si>
  <si>
    <t xml:space="preserve">A arte não vai para fotolito abaixo de 100%.</t>
  </si>
  <si>
    <t xml:space="preserve">4.3 DADOS LOGÍSTICOS</t>
  </si>
  <si>
    <t xml:space="preserve">Unidades por caixa de embarque</t>
  </si>
  <si>
    <t xml:space="preserve">un.</t>
  </si>
  <si>
    <t xml:space="preserve">Define o múltiplo de venda e a política de pedido mínimo.</t>
  </si>
  <si>
    <t xml:space="preserve">Caixas por camada</t>
  </si>
  <si>
    <t xml:space="preserve">cx</t>
  </si>
  <si>
    <t xml:space="preserve">Camadas por palete</t>
  </si>
  <si>
    <t xml:space="preserve">camadas</t>
  </si>
  <si>
    <t xml:space="preserve">Peso bruto da caixa</t>
  </si>
  <si>
    <t xml:space="preserve">kg</t>
  </si>
  <si>
    <t xml:space="preserve">Impacta frete e ergonomia.</t>
  </si>
  <si>
    <t xml:space="preserve">Cubagem da caixa</t>
  </si>
  <si>
    <t xml:space="preserve">m³</t>
  </si>
  <si>
    <t xml:space="preserve">Produto leve e volumoso encarece frete por unidade.</t>
  </si>
  <si>
    <t xml:space="preserve">Empilhamento máximo</t>
  </si>
  <si>
    <t xml:space="preserve">paletes</t>
  </si>
  <si>
    <t xml:space="preserve">Caixas por palete</t>
  </si>
  <si>
    <t xml:space="preserve">Calculado: caixas por camada × camadas por palete.</t>
  </si>
  <si>
    <t xml:space="preserve">Unidades por palete</t>
  </si>
  <si>
    <t xml:space="preserve">Calculado: caixas por palete × unidades por caixa.</t>
  </si>
  <si>
    <t xml:space="preserve">5 · FICHA DE CUSTO DO PRODUTO E FORMAÇÃO DE PREÇO</t>
  </si>
  <si>
    <t xml:space="preserve">Quatro grupos de custo (fórmula · embalagem · MOD · GGF) mais outros custos de produção, depois impostos de venda e margem bruta.</t>
  </si>
  <si>
    <t xml:space="preserve">5.1 PARÂMETROS DA UNIDADE E DO LOTE</t>
  </si>
  <si>
    <t xml:space="preserve">Gramatura declarada no rótulo</t>
  </si>
  <si>
    <t xml:space="preserve">g ou ml</t>
  </si>
  <si>
    <t xml:space="preserve">Conteúdo nominal. É o que o consumidor lê e o que a fiscalização cobra.</t>
  </si>
  <si>
    <t xml:space="preserve">Sobre-enchimento médio</t>
  </si>
  <si>
    <t xml:space="preserve">Quanto se enche a mais para nunca ficar abaixo do nominal. Encher 202 g para declarar 200 g é custo puro e quase sempre esquecido.</t>
  </si>
  <si>
    <t xml:space="preserve">Gramatura efetiva envasada</t>
  </si>
  <si>
    <t xml:space="preserve">Calculado: gramatura declarada × (1 + sobre-enchimento). É esta que consome matéria-prima.</t>
  </si>
  <si>
    <t xml:space="preserve">Perda de granel no processo e no envase</t>
  </si>
  <si>
    <t xml:space="preserve">Resíduo de tanque, tubulação, purga de linha e reprocesso descartado.</t>
  </si>
  <si>
    <t xml:space="preserve">Tamanho do lote de produção</t>
  </si>
  <si>
    <t xml:space="preserve">O custo unitário muda com o lote. Sem definir o lote, o custeio de MOD e GGF é ficção.</t>
  </si>
  <si>
    <t xml:space="preserve">Velocidade da linha</t>
  </si>
  <si>
    <t xml:space="preserve">un./h</t>
  </si>
  <si>
    <t xml:space="preserve">Produção efetiva por hora, já considerando as paradas normais.</t>
  </si>
  <si>
    <t xml:space="preserve">Horas de produção do lote</t>
  </si>
  <si>
    <t xml:space="preserve">h</t>
  </si>
  <si>
    <t xml:space="preserve">Calculado: lote ÷ velocidade.</t>
  </si>
  <si>
    <t xml:space="preserve">Horas de setup, limpeza e troca de lote</t>
  </si>
  <si>
    <t xml:space="preserve">Higienização entre lotes é obrigatória em cosmético e costuma pesar mais que a própria produção em lote pequeno.</t>
  </si>
  <si>
    <t xml:space="preserve">Horas totais ocupadas pelo lote</t>
  </si>
  <si>
    <t xml:space="preserve">Calculado: produção + setup. É esta hora que MOD e GGF cobram.</t>
  </si>
  <si>
    <t xml:space="preserve">5.2 GRUPO 1 — MATÉRIAS-PRIMAS DA FORMULAÇÃO</t>
  </si>
  <si>
    <t xml:space="preserve">O custo da matéria-prima é o preço posto na fábrica MENOS os impostos que a empresa recupera na compra. Lançar o preço da nota cheio superestima o custo e faz o produto parecer menos rentável do que é. Confirme com a Contabilidade quais créditos o regime tributário da empresa aproveita.</t>
  </si>
  <si>
    <t xml:space="preserve">Matéria-prima</t>
  </si>
  <si>
    <t xml:space="preserve">Função / INCI</t>
  </si>
  <si>
    <t xml:space="preserve">% na fórmula</t>
  </si>
  <si>
    <t xml:space="preserve">Preço bruto (R$/kg)</t>
  </si>
  <si>
    <t xml:space="preserve">Frete inbound (R$/kg)</t>
  </si>
  <si>
    <t xml:space="preserve">Impostos recuperáveis (%)</t>
  </si>
  <si>
    <t xml:space="preserve">Custo líquido (R$/kg)</t>
  </si>
  <si>
    <t xml:space="preserve">Perda específica (%)</t>
  </si>
  <si>
    <t xml:space="preserve">Custo por unidade (R$)</t>
  </si>
  <si>
    <t xml:space="preserve">% do custo</t>
  </si>
  <si>
    <t xml:space="preserve">Fornecedor / observação</t>
  </si>
  <si>
    <t xml:space="preserve">[EXEMPLO — apagar] Água purificada</t>
  </si>
  <si>
    <t xml:space="preserve">Aqua — veículo</t>
  </si>
  <si>
    <t xml:space="preserve">Subtotal · matérias-primas da formulação</t>
  </si>
  <si>
    <t xml:space="preserve">Validação do fechamento da fórmula</t>
  </si>
  <si>
    <t xml:space="preserve">Enquanto a soma dos percentuais não fechar 100%, o custo por quilo de granel está errado.</t>
  </si>
  <si>
    <t xml:space="preserve">5.3 GRUPO 2 — EMBALAGEM</t>
  </si>
  <si>
    <t xml:space="preserve">Uma linha por componente, dos três níveis: primária (contato com o produto), secundária (cartucho, display) e terciária (caixa de embarque, filme, palete). Na coluna Origem, diga se o item é comprado pronto ou transformado internamente — se for transformado, calcule o custo por peça em 5.4 e traga o resultado para a coluna de preço.</t>
  </si>
  <si>
    <t xml:space="preserve">Qtd por unidade</t>
  </si>
  <si>
    <t xml:space="preserve">Preço bruto (R$/un.)</t>
  </si>
  <si>
    <t xml:space="preserve">Frete inbound (R$/un.)</t>
  </si>
  <si>
    <t xml:space="preserve">Custo líquido (R$/un.)</t>
  </si>
  <si>
    <t xml:space="preserve">Refugo (%)</t>
  </si>
  <si>
    <t xml:space="preserve">Fornecedor / nível</t>
  </si>
  <si>
    <t xml:space="preserve">Embalagem primária (frasco, pote, bisnaga, lata)</t>
  </si>
  <si>
    <t xml:space="preserve">Primária</t>
  </si>
  <si>
    <t xml:space="preserve">Tampa, válvula, pump ou dosador</t>
  </si>
  <si>
    <t xml:space="preserve">Lacre, selo de indução ou vedante</t>
  </si>
  <si>
    <t xml:space="preserve">Rótulo, sleeve ou decoração</t>
  </si>
  <si>
    <t xml:space="preserve">Cartucho ou estojo</t>
  </si>
  <si>
    <t xml:space="preserve">Secundária</t>
  </si>
  <si>
    <t xml:space="preserve">Bula, encarte ou brinde</t>
  </si>
  <si>
    <t xml:space="preserve">Terciária</t>
  </si>
  <si>
    <t xml:space="preserve">Filme, cantoneira e palete</t>
  </si>
  <si>
    <t xml:space="preserve">Subtotal · embalagem</t>
  </si>
  <si>
    <t xml:space="preserve">5.4 CALCULADORA — COMPONENTE DE EMBALAGEM TRANSFORMADO INTERNAMENTE</t>
  </si>
  <si>
    <t xml:space="preserve">Use quando a empresa compra resina e produz a peça (injeção, sopro, extrusão) em vez de comprar pronta. O resultado da última linha é o que deve ir para a coluna Preço bruto do componente correspondente em 5.3, com frete e impostos recuperáveis zerados, porque já estão embutidos aqui.</t>
  </si>
  <si>
    <t xml:space="preserve">Peso da peça</t>
  </si>
  <si>
    <t xml:space="preserve">g</t>
  </si>
  <si>
    <t xml:space="preserve">Peso da peça acabada, não da resina carregada.</t>
  </si>
  <si>
    <t xml:space="preserve">Preço da resina</t>
  </si>
  <si>
    <t xml:space="preserve">R$/kg</t>
  </si>
  <si>
    <t xml:space="preserve">Polietileno, PP, PET, PVC. Já líquido dos impostos recuperáveis.</t>
  </si>
  <si>
    <t xml:space="preserve">Percentual de masterbatch e aditivos</t>
  </si>
  <si>
    <t xml:space="preserve">Pigmento, antiestático, UV.</t>
  </si>
  <si>
    <t xml:space="preserve">Preço do masterbatch</t>
  </si>
  <si>
    <t xml:space="preserve">Costuma custar várias vezes o preço da resina base.</t>
  </si>
  <si>
    <t xml:space="preserve">Custo de material por peça</t>
  </si>
  <si>
    <t xml:space="preserve">R$/peça</t>
  </si>
  <si>
    <t xml:space="preserve">Calculado: peso × preço ponderado de resina e masterbatch.</t>
  </si>
  <si>
    <t xml:space="preserve">Refugo de transformação</t>
  </si>
  <si>
    <t xml:space="preserve">Partida de máquina, peça fora de especificação, galho e canal.</t>
  </si>
  <si>
    <t xml:space="preserve">Custo de material com refugo</t>
  </si>
  <si>
    <t xml:space="preserve">Calculado: custo de material ÷ (1 − refugo). Material reciclado internamente reduz esta perda — registre na observação.</t>
  </si>
  <si>
    <t xml:space="preserve">Cavidades do molde</t>
  </si>
  <si>
    <t xml:space="preserve">cavidades</t>
  </si>
  <si>
    <t xml:space="preserve">Quantas peças saem por ciclo.</t>
  </si>
  <si>
    <t xml:space="preserve">Tempo de ciclo</t>
  </si>
  <si>
    <t xml:space="preserve">segundos</t>
  </si>
  <si>
    <t xml:space="preserve">Do fechamento à extração.</t>
  </si>
  <si>
    <t xml:space="preserve">Peças por hora</t>
  </si>
  <si>
    <t xml:space="preserve">peças/h</t>
  </si>
  <si>
    <t xml:space="preserve">Calculado: 3600 ÷ ciclo × cavidades.</t>
  </si>
  <si>
    <t xml:space="preserve">Custo hora-máquina de transformação</t>
  </si>
  <si>
    <t xml:space="preserve">R$/h</t>
  </si>
  <si>
    <t xml:space="preserve">Energia, MOD da injetora, manutenção e depreciação da máquina. Se preferir, use a taxa de GGF por hora calculada em 5.6.</t>
  </si>
  <si>
    <t xml:space="preserve">Custo de transformação por peça</t>
  </si>
  <si>
    <t xml:space="preserve">Calculado: hora-máquina ÷ peças por hora.</t>
  </si>
  <si>
    <t xml:space="preserve">Amortização do molde por peça</t>
  </si>
  <si>
    <t xml:space="preserve">Valor do molde ÷ número de peças que ele produzirá na vida útil. Zero se o molde já estiver amortizado.</t>
  </si>
  <si>
    <t xml:space="preserve">CUSTO TOTAL DA PEÇA TRANSFORMADA</t>
  </si>
  <si>
    <t xml:space="preserve">Leve este valor para a coluna Preço bruto do componente correspondente em 5.3.</t>
  </si>
  <si>
    <t xml:space="preserve">5.5 GRUPO 3 — MÃO DE OBRA DIRETA (MOD)</t>
  </si>
  <si>
    <t xml:space="preserve">Só as pessoas que colocam a mão no produto. Supervisão, PCP, qualidade e almoxarifado são indiretos e entram no GGF (5.6). O fator de encargos transforma salário em custo real: encargos sociais, férias, 13º, FGTS, rescisão, vale-transporte, alimentação e plano de saúde. Peça o número ao RH em vez de estimar.</t>
  </si>
  <si>
    <t xml:space="preserve">Função</t>
  </si>
  <si>
    <t xml:space="preserve">Nº de pessoas</t>
  </si>
  <si>
    <t xml:space="preserve">Salário mensal (R$)</t>
  </si>
  <si>
    <t xml:space="preserve">Fator de encargos</t>
  </si>
  <si>
    <t xml:space="preserve">Custo mensal (R$)</t>
  </si>
  <si>
    <t xml:space="preserve">Horas produtivas/mês</t>
  </si>
  <si>
    <t xml:space="preserve">Custo-hora (R$)</t>
  </si>
  <si>
    <t xml:space="preserve">Horas no lote</t>
  </si>
  <si>
    <t xml:space="preserve">Custo no lote (R$)</t>
  </si>
  <si>
    <t xml:space="preserve">Operador de fabricação do granel</t>
  </si>
  <si>
    <t xml:space="preserve">Operador de envase</t>
  </si>
  <si>
    <t xml:space="preserve">Operador de embalagem e encaixotamento</t>
  </si>
  <si>
    <t xml:space="preserve">Auxiliar de linha</t>
  </si>
  <si>
    <t xml:space="preserve">Líder de linha</t>
  </si>
  <si>
    <t xml:space="preserve">Subtotal · mão de obra direta</t>
  </si>
  <si>
    <t xml:space="preserve">O fator de encargos vem preenchido com 1,80 apenas como ordem de grandeza usual em indústria CLT — substitua pelo número real do RH. 176 horas/mês equivalem a 8 h em 22 dias úteis; ajuste conforme a jornada e os turnos praticados.</t>
  </si>
  <si>
    <t xml:space="preserve">5.6 GRUPO 4 — GASTOS GERAIS DE FABRICAÇÃO (GGF)</t>
  </si>
  <si>
    <t xml:space="preserve">Tudo que a fábrica consome e não dá para apontar direto no produto. Rateado por hora ocupada de linha: GGF mensal ÷ horas produtivas da fábrica no mês = taxa por hora; a taxa multiplica as horas do lote e divide pelas unidades. Quem rateia por unidade produzida distorce o custo de produto lento contra produto rápido.</t>
  </si>
  <si>
    <t xml:space="preserve">Item de GGF</t>
  </si>
  <si>
    <t xml:space="preserve">Natureza</t>
  </si>
  <si>
    <t xml:space="preserve">Valor mensal (R$)</t>
  </si>
  <si>
    <t xml:space="preserve">Depreciação de máquinas, moldes e instalações</t>
  </si>
  <si>
    <t xml:space="preserve">Fixo</t>
  </si>
  <si>
    <t xml:space="preserve">Mesmo parado, o ativo se deprecia.</t>
  </si>
  <si>
    <t xml:space="preserve">Manutenção preventiva e corretiva</t>
  </si>
  <si>
    <t xml:space="preserve">Misto</t>
  </si>
  <si>
    <t xml:space="preserve">Peças, contratos e mão de obra de manutenção.</t>
  </si>
  <si>
    <t xml:space="preserve">Energia elétrica da produção</t>
  </si>
  <si>
    <t xml:space="preserve">Variável</t>
  </si>
  <si>
    <t xml:space="preserve">Se houver medição por linha, considere tratar como custo direto.</t>
  </si>
  <si>
    <t xml:space="preserve">Água, vapor, ar comprimido e utilidades</t>
  </si>
  <si>
    <t xml:space="preserve">Água purificada tem custo próprio de tratamento em cosmético.</t>
  </si>
  <si>
    <t xml:space="preserve">Tratamento de efluentes e resíduos</t>
  </si>
  <si>
    <t xml:space="preserve">Descarte de granel reprovado e lavagem de tanque.</t>
  </si>
  <si>
    <t xml:space="preserve">Supervisão de produção e PCP</t>
  </si>
  <si>
    <t xml:space="preserve">Não é MOD: não põe a mão no produto.</t>
  </si>
  <si>
    <t xml:space="preserve">Laboratório, controle de qualidade e microbiologia</t>
  </si>
  <si>
    <t xml:space="preserve">Estrutura; as análises por lote entram em 5.7.</t>
  </si>
  <si>
    <t xml:space="preserve">Almoxarifado, movimentação e empilhadeira</t>
  </si>
  <si>
    <t xml:space="preserve">Recebimento, separação e abastecimento de linha.</t>
  </si>
  <si>
    <t xml:space="preserve">Limpeza, sanitização e produtos de higienização</t>
  </si>
  <si>
    <t xml:space="preserve">Custo alto e recorrente em linha de cosmético.</t>
  </si>
  <si>
    <t xml:space="preserve">Segurança do trabalho, EPI e uniformes</t>
  </si>
  <si>
    <t xml:space="preserve">Ocupação: aluguel, condomínio, IPTU e seguros</t>
  </si>
  <si>
    <t xml:space="preserve">Ou custo de oportunidade do imóvel próprio.</t>
  </si>
  <si>
    <t xml:space="preserve">Outros gastos indiretos de fabricação</t>
  </si>
  <si>
    <t xml:space="preserve">GGF total mensal</t>
  </si>
  <si>
    <t xml:space="preserve">Rateio do GGF</t>
  </si>
  <si>
    <t xml:space="preserve">Horas produtivas da fábrica no mês</t>
  </si>
  <si>
    <t xml:space="preserve">Horas em que as linhas efetivamente rodam. Usar a capacidade teórica joga custo para debaixo do tapete.</t>
  </si>
  <si>
    <t xml:space="preserve">Taxa de GGF por hora</t>
  </si>
  <si>
    <t xml:space="preserve">Calculado: GGF mensal ÷ horas produtivas.</t>
  </si>
  <si>
    <t xml:space="preserve">GGF rateado por unidade</t>
  </si>
  <si>
    <t xml:space="preserve">Calculado: taxa por hora × horas do lote ÷ unidades do lote.</t>
  </si>
  <si>
    <t xml:space="preserve">GGF variável medido por unidade</t>
  </si>
  <si>
    <t xml:space="preserve">Só se algum indireto for medido direto na unidade e não estiver na tabela acima. Cuidado para não contar duas vezes.</t>
  </si>
  <si>
    <t xml:space="preserve">Total de GGF por unidade</t>
  </si>
  <si>
    <t xml:space="preserve">Calculado: rateio + variável medido.</t>
  </si>
  <si>
    <t xml:space="preserve">5.7 GRUPO 5 — OUTROS CUSTOS DE PRODUÇÃO</t>
  </si>
  <si>
    <t xml:space="preserve">Custos reais que não cabem nos quatro grupos clássicos e que costumam sumir da conta. Cada linha tem a sua própria forma de cálculo, indicada na segunda coluna.</t>
  </si>
  <si>
    <t xml:space="preserve">Forma de cálculo</t>
  </si>
  <si>
    <t xml:space="preserve">Valor informado</t>
  </si>
  <si>
    <t xml:space="preserve">Referência</t>
  </si>
  <si>
    <t xml:space="preserve">Análises de qualidade por lote</t>
  </si>
  <si>
    <t xml:space="preserve">Valor por lote ÷ lote</t>
  </si>
  <si>
    <t xml:space="preserve">R$/lote</t>
  </si>
  <si>
    <t xml:space="preserve">MP, granel, produto acabado, contraprova</t>
  </si>
  <si>
    <t xml:space="preserve">Amostras de retenção e contraprova</t>
  </si>
  <si>
    <t xml:space="preserve">Unidades retidas × custo</t>
  </si>
  <si>
    <t xml:space="preserve">un./lote</t>
  </si>
  <si>
    <t xml:space="preserve">Produto que sai do lote e não é vendido</t>
  </si>
  <si>
    <t xml:space="preserve">Valor ÷ unidades projetadas</t>
  </si>
  <si>
    <t xml:space="preserve">R$ total</t>
  </si>
  <si>
    <t xml:space="preserve">Informe as unidades projetadas na coluna Referência</t>
  </si>
  <si>
    <t xml:space="preserve">% sobre o preço de tabela</t>
  </si>
  <si>
    <t xml:space="preserve">Marca licenciada, personagem, fragrância exclusiva</t>
  </si>
  <si>
    <t xml:space="preserve">Taxa de terceirização (toll manufacturing)</t>
  </si>
  <si>
    <t xml:space="preserve">Valor por unidade</t>
  </si>
  <si>
    <t xml:space="preserve">Se usar, zere MOD e GGF: já estão na taxa</t>
  </si>
  <si>
    <t xml:space="preserve">Perda por obsolescência e validade</t>
  </si>
  <si>
    <t xml:space="preserve">% sobre material</t>
  </si>
  <si>
    <t xml:space="preserve">Embalagem com arte trocada, granel vencido</t>
  </si>
  <si>
    <t xml:space="preserve">Material × taxa × dias ÷ 360</t>
  </si>
  <si>
    <t xml:space="preserve">% ao ano</t>
  </si>
  <si>
    <t xml:space="preserve">Informe os dias de estoque na coluna Referência</t>
  </si>
  <si>
    <t xml:space="preserve">Outro custo de produção</t>
  </si>
  <si>
    <t xml:space="preserve">Subtotal · outros custos de produção</t>
  </si>
  <si>
    <t xml:space="preserve">5.8 FICHA DE CUSTO CONSOLIDADA</t>
  </si>
  <si>
    <t xml:space="preserve">Grupo de custo</t>
  </si>
  <si>
    <t xml:space="preserve">% do custo industrial</t>
  </si>
  <si>
    <t xml:space="preserve">Custo do lote (R$)</t>
  </si>
  <si>
    <t xml:space="preserve">O que entra</t>
  </si>
  <si>
    <t xml:space="preserve">Grupo 1 · Matérias-primas da formulação</t>
  </si>
  <si>
    <t xml:space="preserve">Insumos da fórmula, líquidos de impostos recuperáveis, com frete de entrada e perdas.</t>
  </si>
  <si>
    <t xml:space="preserve">Grupo 2 · Embalagem</t>
  </si>
  <si>
    <t xml:space="preserve">Primária, secundária e terciária, compradas prontas ou transformadas internamente.</t>
  </si>
  <si>
    <t xml:space="preserve">Grupo 3 · Mão de obra direta</t>
  </si>
  <si>
    <t xml:space="preserve">Quem põe a mão no produto, com encargos, rateado pelas horas do lote.</t>
  </si>
  <si>
    <t xml:space="preserve">Grupo 4 · Gastos gerais de fabricação</t>
  </si>
  <si>
    <t xml:space="preserve">Indiretos da fábrica rateados por hora ocupada de linha.</t>
  </si>
  <si>
    <t xml:space="preserve">Grupo 5 · Outros custos de produção</t>
  </si>
  <si>
    <t xml:space="preserve">Qualidade, ferramental, obsolescência, terceirização e custo financeiro do estoque.</t>
  </si>
  <si>
    <t xml:space="preserve">CUSTO INDUSTRIAL TOTAL (CPV unitário)</t>
  </si>
  <si>
    <t xml:space="preserve">Soma dos cinco grupos. É a base de toda a precificação abaixo.</t>
  </si>
  <si>
    <t xml:space="preserve">5.9 IMPOSTOS DE VENDA E FORMAÇÃO DO PREÇO</t>
  </si>
  <si>
    <t xml:space="preserve">Dois comportamentos diferentes. IPI e ICMS-ST são tributos POR FORA: entram na nota, o cliente paga, mas não são receita da empresa — passam direto para o governo. ICMS próprio, PIS e COFINS são POR DENTRO: já estão embutidos no preço de tabela e saem como dedução da receita bruta. Confirme com a Contabilidade as alíquotas do regime tributário e do estado de destino antes de decidir preço.</t>
  </si>
  <si>
    <t xml:space="preserve">Preço de tabela (sem IPI e sem ST)</t>
  </si>
  <si>
    <t xml:space="preserve">O preço que sai na nota como valor da mercadoria. É a receita bruta da empresa.</t>
  </si>
  <si>
    <t xml:space="preserve">Alíquota de IPI</t>
  </si>
  <si>
    <t xml:space="preserve">Por fora. Depende da NCM do produto.</t>
  </si>
  <si>
    <t xml:space="preserve">Alíquota de ICMS próprio</t>
  </si>
  <si>
    <t xml:space="preserve">Por dentro. Varia por estado de origem e destino.</t>
  </si>
  <si>
    <t xml:space="preserve">Alíquota de PIS</t>
  </si>
  <si>
    <t xml:space="preserve">Por dentro. Valor usual do regime não cumulativo — confirme o seu.</t>
  </si>
  <si>
    <t xml:space="preserve">Alíquota de COFINS</t>
  </si>
  <si>
    <t xml:space="preserve">MVA / IVA-ST</t>
  </si>
  <si>
    <t xml:space="preserve">Margem de valor agregado da substituição tributária. Em higiene pessoal e cosméticos quase sempre há ST, e é ela que infla o preço na nota.</t>
  </si>
  <si>
    <t xml:space="preserve">Alíquota de ICMS no destino (para a ST)</t>
  </si>
  <si>
    <t xml:space="preserve">Alíquota interna do estado onde o produto será vendido ao consumidor.</t>
  </si>
  <si>
    <t xml:space="preserve">Descontos, bonificações e devoluções</t>
  </si>
  <si>
    <t xml:space="preserve">Sobre o preço de tabela. É o vazamento invisível da margem: verba de encarte, bonificação em produto, rebate e devolução.</t>
  </si>
  <si>
    <t xml:space="preserve">Valor do IPI</t>
  </si>
  <si>
    <t xml:space="preserve">Calculado: preço de tabela × alíquota de IPI.</t>
  </si>
  <si>
    <t xml:space="preserve">Base de cálculo da ST</t>
  </si>
  <si>
    <t xml:space="preserve">Calculado: (preço de tabela + IPI) × (1 + MVA).</t>
  </si>
  <si>
    <t xml:space="preserve">Valor do ICMS-ST retido</t>
  </si>
  <si>
    <t xml:space="preserve">Calculado: ICMS sobre a base de ST menos o ICMS próprio já destacado.</t>
  </si>
  <si>
    <t xml:space="preserve">VALOR TOTAL NA NOTA (o que o cliente paga)</t>
  </si>
  <si>
    <t xml:space="preserve">Calculado: preço de tabela + IPI + ST. Este é o custo de aquisição do varejo, não o preço de tabela.</t>
  </si>
  <si>
    <t xml:space="preserve">Da receita bruta à margem</t>
  </si>
  <si>
    <t xml:space="preserve">Receita bruta</t>
  </si>
  <si>
    <t xml:space="preserve">Igual ao preço de tabela. IPI e ST não são receita.</t>
  </si>
  <si>
    <t xml:space="preserve">(−) ICMS próprio</t>
  </si>
  <si>
    <t xml:space="preserve">Por dentro do preço.</t>
  </si>
  <si>
    <t xml:space="preserve">(−) PIS</t>
  </si>
  <si>
    <t xml:space="preserve">(−) COFINS</t>
  </si>
  <si>
    <t xml:space="preserve">(−) Descontos, bonificações e devoluções</t>
  </si>
  <si>
    <t xml:space="preserve">RECEITA LÍQUIDA</t>
  </si>
  <si>
    <t xml:space="preserve">Calculado: receita bruta menos tributos por dentro e deduções comerciais.</t>
  </si>
  <si>
    <t xml:space="preserve">(−) Custo industrial (CPV)</t>
  </si>
  <si>
    <t xml:space="preserve">Puxado da ficha consolidada em 5.8.</t>
  </si>
  <si>
    <t xml:space="preserve">MARGEM BRUTA</t>
  </si>
  <si>
    <t xml:space="preserve">Calculado: receita líquida menos custo industrial.</t>
  </si>
  <si>
    <t xml:space="preserve">Calculado: margem bruta ÷ receita líquida. É a margem que a Diretoria persegue.</t>
  </si>
  <si>
    <t xml:space="preserve">Markup sobre o custo industrial</t>
  </si>
  <si>
    <t xml:space="preserve">x</t>
  </si>
  <si>
    <t xml:space="preserve">Calculado: preço de tabela ÷ custo industrial.</t>
  </si>
  <si>
    <t xml:space="preserve">Despesas variáveis de venda</t>
  </si>
  <si>
    <t xml:space="preserve">Comissão de representantes</t>
  </si>
  <si>
    <t xml:space="preserve">Sobre o preço de tabela.</t>
  </si>
  <si>
    <t xml:space="preserve">Frete de saída e armazenagem</t>
  </si>
  <si>
    <t xml:space="preserve">Se o frete for por conta da empresa (CIF).</t>
  </si>
  <si>
    <t xml:space="preserve">Verba de trade e ações de canal</t>
  </si>
  <si>
    <t xml:space="preserve">Contratos de gôndola, encarte, ponto extra.</t>
  </si>
  <si>
    <t xml:space="preserve">(−) Total de despesas variáveis</t>
  </si>
  <si>
    <t xml:space="preserve">Calculado sobre o preço de tabela.</t>
  </si>
  <si>
    <t xml:space="preserve">MARGEM DE CONTRIBUIÇÃO</t>
  </si>
  <si>
    <t xml:space="preserve">Calculado: margem bruta menos despesas variáveis de venda.</t>
  </si>
  <si>
    <t xml:space="preserve">Calculado: margem de contribuição ÷ receita líquida.</t>
  </si>
  <si>
    <t xml:space="preserve">5.10 DO PREÇO DE PRATELEIRA PARA TRÁS</t>
  </si>
  <si>
    <t xml:space="preserve">O consumidor decide pelo preço de prateleira, não pelo nosso preço de tabela. Este bloco desce da prateleira até a fábrica e mostra qual preço de tabela cabe dentro do preço que o mercado aceita — e qual margem bruta sobra.</t>
  </si>
  <si>
    <t xml:space="preserve">Preço de prateleira alvo (com impostos)</t>
  </si>
  <si>
    <t xml:space="preserve">Ancorado no benchmark de PDV da aba 2. Comece pelo que o consumidor aceita pagar.</t>
  </si>
  <si>
    <t xml:space="preserve">Markup do varejo</t>
  </si>
  <si>
    <t xml:space="preserve">Quanto o cliente marca sobre o custo de aquisição. Atacarejo, farma e varejo tradicional são muito diferentes entre si.</t>
  </si>
  <si>
    <t xml:space="preserve">Custo de aquisição do varejo</t>
  </si>
  <si>
    <t xml:space="preserve">Calculado: preço de prateleira ÷ (1 + markup do varejo). É o valor total da nota que o cliente aceita pagar.</t>
  </si>
  <si>
    <t xml:space="preserve">Fator de conversão nota → tabela</t>
  </si>
  <si>
    <t xml:space="preserve">×</t>
  </si>
  <si>
    <t xml:space="preserve">Calculado: quanto o valor da nota é maior que o preço de tabela, considerando IPI e ST.</t>
  </si>
  <si>
    <t xml:space="preserve">Preço de tabela implícito no preço de prateleira</t>
  </si>
  <si>
    <t xml:space="preserve">Calculado: custo de aquisição ÷ fator de conversão. É o máximo que dá para cobrar mantendo o preço de prateleira alvo.</t>
  </si>
  <si>
    <t xml:space="preserve">Desvio do preço de tabela praticado</t>
  </si>
  <si>
    <t xml:space="preserve">Positivo significa que o nosso preço de tabela estoura o preço de prateleira alvo: ou o varejo comprime a própria margem, ou o produto sai mais caro na gôndola.</t>
  </si>
  <si>
    <t xml:space="preserve">Margem bruta-alvo</t>
  </si>
  <si>
    <t xml:space="preserve">Fator de margem disponível</t>
  </si>
  <si>
    <t xml:space="preserve">fator</t>
  </si>
  <si>
    <t xml:space="preserve">Calculado. Se este fator for zero ou negativo, nenhum preço atinge a margem-alvo: os impostos e as despesas variáveis já consomem tudo.</t>
  </si>
  <si>
    <t xml:space="preserve">Preço de tabela mínimo para a margem-alvo</t>
  </si>
  <si>
    <t xml:space="preserve">Calculado: custo industrial ÷ fator de margem disponível.</t>
  </si>
  <si>
    <t xml:space="preserve">Valor mínimo na nota</t>
  </si>
  <si>
    <t xml:space="preserve">Calculado: preço de tabela mínimo × fator de conversão.</t>
  </si>
  <si>
    <t xml:space="preserve">Preço de prateleira mínimo</t>
  </si>
  <si>
    <t xml:space="preserve">Calculado: valor mínimo na nota × (1 + markup do varejo). Compare com o teto da categoria no benchmark da aba 2.</t>
  </si>
  <si>
    <t xml:space="preserve">VEREDITO DE PRECIFICAÇÃO</t>
  </si>
  <si>
    <t xml:space="preserve">Compara a margem de contribuição calculada com a margem-alvo do briefing.</t>
  </si>
  <si>
    <t xml:space="preserve">5.11 PONTO DE EQUILÍBRIO</t>
  </si>
  <si>
    <t xml:space="preserve">Custos fixos incrementais mensais</t>
  </si>
  <si>
    <t xml:space="preserve">R$/mês</t>
  </si>
  <si>
    <t xml:space="preserve">Só o que o projeto adiciona: pessoas, aluguel de linha, sistema, depreciação do ferramental.</t>
  </si>
  <si>
    <t xml:space="preserve">Investimento de marketing mensal</t>
  </si>
  <si>
    <t xml:space="preserve">Mídia, trade, degustação, encarte, ativação.</t>
  </si>
  <si>
    <t xml:space="preserve">Compromisso fixo mensal total</t>
  </si>
  <si>
    <t xml:space="preserve">Calculado: fixos + marketing.</t>
  </si>
  <si>
    <t xml:space="preserve">un./mês</t>
  </si>
  <si>
    <t xml:space="preserve">Calculado: compromisso fixo ÷ margem de contribuição unitária.</t>
  </si>
  <si>
    <t xml:space="preserve">Volume mensal previsto (Ano 1)</t>
  </si>
  <si>
    <t xml:space="preserve">Puxado da aba 1: meta do Ano 1 ÷ 12.</t>
  </si>
  <si>
    <t xml:space="preserve">Folga sobre o ponto de equilíbrio</t>
  </si>
  <si>
    <t xml:space="preserve">Calculado. Negativo significa que a meta não cobre nem o ponto de equilíbrio.</t>
  </si>
  <si>
    <t xml:space="preserve">Lotes por mês no volume previsto</t>
  </si>
  <si>
    <t xml:space="preserve">lotes/mês</t>
  </si>
  <si>
    <t xml:space="preserve">Calculado: volume previsto ÷ tamanho do lote. Menos de um lote por mês significa que o rateio de MOD e GGF em 5.1 está otimista.</t>
  </si>
  <si>
    <t xml:space="preserve">5.12 SENSIBILIDADE</t>
  </si>
  <si>
    <t xml:space="preserve">Cenário</t>
  </si>
  <si>
    <t xml:space="preserve">Variação no preço de tabela</t>
  </si>
  <si>
    <t xml:space="preserve">Variação no custo industrial</t>
  </si>
  <si>
    <t xml:space="preserve">Preço de tabela (R$)</t>
  </si>
  <si>
    <t xml:space="preserve">Receita líquida (R$)</t>
  </si>
  <si>
    <t xml:space="preserve">Custo industrial (R$)</t>
  </si>
  <si>
    <t xml:space="preserve">Margem bruta (R$)</t>
  </si>
  <si>
    <t xml:space="preserve">Estresse duplo</t>
  </si>
  <si>
    <t xml:space="preserve">Preço sob pressão</t>
  </si>
  <si>
    <t xml:space="preserve">Custo sob pressão</t>
  </si>
  <si>
    <t xml:space="preserve">Base</t>
  </si>
  <si>
    <t xml:space="preserve">Cenário favorável</t>
  </si>
  <si>
    <t xml:space="preserve">Pior margem de contribuição entre os cenários</t>
  </si>
  <si>
    <t xml:space="preserve">Se a margem no cenário de estresse duplo já fica abaixo do alvo, o projeto não tem folga para negociar preço com o varejo nem para absorver reajuste de matéria-prima. Em caixa curto, projeto sem folga vira prejuízo no primeiro reajuste.</t>
  </si>
  <si>
    <t xml:space="preserve">6 · VIABILIDADE ECONÔMICA — 3 ANOS</t>
  </si>
  <si>
    <t xml:space="preserve">Puxa preço e custo da aba 5 e investimentos das abas 3 e 4. Preencha apenas crescimento, percentuais de despesa e taxa de desconto.</t>
  </si>
  <si>
    <t xml:space="preserve">6.1 PREMISSAS</t>
  </si>
  <si>
    <t xml:space="preserve">Crescimento de volume — Ano 2</t>
  </si>
  <si>
    <t xml:space="preserve">Sobre o volume do Ano 1. Lançamento costuma crescer no Ano 2 pela distribuição, não pelo giro.</t>
  </si>
  <si>
    <t xml:space="preserve">Crescimento de volume — Ano 3</t>
  </si>
  <si>
    <t xml:space="preserve">Maturação. Crescimento de dois dígitos altos no Ano 3 precisa de justificativa.</t>
  </si>
  <si>
    <t xml:space="preserve">Marketing e trade (% da receita líquida)</t>
  </si>
  <si>
    <t xml:space="preserve">Inclui mídia, trade, encarte e ativação de PDV.</t>
  </si>
  <si>
    <t xml:space="preserve">Despesas comerciais e estrutura (% da RL)</t>
  </si>
  <si>
    <t xml:space="preserve">Comissão, representação, estrutura de vendas alocada.</t>
  </si>
  <si>
    <t xml:space="preserve">Taxa de desconto anual</t>
  </si>
  <si>
    <t xml:space="preserve">Custo de capital. Em cenário de caixa curto e dívida cara, o piso é o custo da dívida — alinhar com a Diretoria Financeira.</t>
  </si>
  <si>
    <t xml:space="preserve">Outros investimentos no Ano 0</t>
  </si>
  <si>
    <t xml:space="preserve">Consultoria, arte, fotografia, ativação de lançamento, cadastro em clientes.</t>
  </si>
  <si>
    <t xml:space="preserve">Valores de crescimento e de despesa são ilustrativos — substitua pelos seus.</t>
  </si>
  <si>
    <t xml:space="preserve">6.2 DEMONSTRATIVO INCREMENTAL DO PROJETO</t>
  </si>
  <si>
    <t xml:space="preserve">Linha</t>
  </si>
  <si>
    <t xml:space="preserve">Ano 0</t>
  </si>
  <si>
    <t xml:space="preserve">Ano 1</t>
  </si>
  <si>
    <t xml:space="preserve">Ano 2</t>
  </si>
  <si>
    <t xml:space="preserve">Ano 3</t>
  </si>
  <si>
    <t xml:space="preserve">Volume (un.)</t>
  </si>
  <si>
    <t xml:space="preserve">Ano 1 vem da meta do briefing; Anos 2 e 3 aplicam o crescimento premissado.</t>
  </si>
  <si>
    <t xml:space="preserve">Preço de fábrica (R$/un.)</t>
  </si>
  <si>
    <t xml:space="preserve">Puxado da aba 5. Mantido nominal — sem reajuste. Se houver política de preço, ajuste aqui.</t>
  </si>
  <si>
    <t xml:space="preserve">Volume × preço de fábrica.</t>
  </si>
  <si>
    <t xml:space="preserve">Receita líquida</t>
  </si>
  <si>
    <t xml:space="preserve">Volume × receita líquida unitária da aba 5 (já descontados impostos e verbas).</t>
  </si>
  <si>
    <t xml:space="preserve">(−) Custo industrial</t>
  </si>
  <si>
    <t xml:space="preserve">Volume × CPV unitário da aba 5.</t>
  </si>
  <si>
    <t xml:space="preserve">► Margem bruta</t>
  </si>
  <si>
    <t xml:space="preserve">Receita líquida − custo industrial. As despesas variáveis de venda estão detalhadas na aba 5.</t>
  </si>
  <si>
    <t xml:space="preserve">(−) Marketing e trade</t>
  </si>
  <si>
    <t xml:space="preserve">Percentual da receita líquida definido em 6.1.</t>
  </si>
  <si>
    <t xml:space="preserve">(−) Despesas comerciais e estrutura</t>
  </si>
  <si>
    <t xml:space="preserve">► Resultado contributivo do projeto</t>
  </si>
  <si>
    <t xml:space="preserve">O que o projeto devolve ao caixa antes de investimento e de rateio de fixos corporativos.</t>
  </si>
  <si>
    <t xml:space="preserve">6.3 INVESTIMENTO (ANO 0) E FLUXO DE CAIXA</t>
  </si>
  <si>
    <t xml:space="preserve">Ferramental e moldes</t>
  </si>
  <si>
    <t xml:space="preserve">Puxado da aba 4.</t>
  </si>
  <si>
    <t xml:space="preserve">Regulatório</t>
  </si>
  <si>
    <t xml:space="preserve">Puxado da aba 3.</t>
  </si>
  <si>
    <t xml:space="preserve">Pesquisa, desenvolvimento e testes</t>
  </si>
  <si>
    <t xml:space="preserve">Capital de giro — primeiro lote de embalagem</t>
  </si>
  <si>
    <t xml:space="preserve">Puxado da aba 4. MOQ máximo × custo de embalagem por unidade.</t>
  </si>
  <si>
    <t xml:space="preserve">Outros investimentos</t>
  </si>
  <si>
    <t xml:space="preserve">Definido em 6.1.</t>
  </si>
  <si>
    <t xml:space="preserve">► Investimento total</t>
  </si>
  <si>
    <t xml:space="preserve">Soma das linhas acima. Compare com o capex máximo autorizado no briefing.</t>
  </si>
  <si>
    <t xml:space="preserve">Fluxo de caixa livre</t>
  </si>
  <si>
    <t xml:space="preserve">Ano 0 negativo (desembolso); anos seguintes, o resultado contributivo.</t>
  </si>
  <si>
    <t xml:space="preserve">Fluxo de caixa acumulado</t>
  </si>
  <si>
    <t xml:space="preserve">Quando vira positivo, o projeto se pagou.</t>
  </si>
  <si>
    <t xml:space="preserve">6.4 INDICADORES DE DECISÃO</t>
  </si>
  <si>
    <t xml:space="preserve">Resultado</t>
  </si>
  <si>
    <t xml:space="preserve">VPL (Valor Presente Líquido)</t>
  </si>
  <si>
    <t xml:space="preserve">Positivo, o projeto cria valor acima do custo de capital. Negativo, destrói.</t>
  </si>
  <si>
    <t xml:space="preserve">TIR (Taxa Interna de Retorno)</t>
  </si>
  <si>
    <t xml:space="preserve">Compare com a taxa de desconto de 6.1. Abaixo dela, o dinheiro rende mais em outro lugar.</t>
  </si>
  <si>
    <t xml:space="preserve">Em caixa curto, payback acima de 24 meses é decisão de Diretoria, não de área.</t>
  </si>
  <si>
    <t xml:space="preserve">ROI em 3 anos</t>
  </si>
  <si>
    <t xml:space="preserve">Retorno acumulado sobre o investimento do Ano 0.</t>
  </si>
  <si>
    <t xml:space="preserve">Investimento × capex autorizado</t>
  </si>
  <si>
    <t xml:space="preserve">Confronta o investimento total com o teto declarado na aba 1.</t>
  </si>
  <si>
    <t xml:space="preserve">Margem bruta consolidada — Ano 1</t>
  </si>
  <si>
    <t xml:space="preserve">Deve bater com a margem bruta unitária da aba 5. Divergência indica premissa inconsistente.</t>
  </si>
  <si>
    <t xml:space="preserve">7 · SCORECARD DE PRIORIZAÇÃO DE PORTFÓLIO</t>
  </si>
  <si>
    <t xml:space="preserve">Pesos somam 100%. Notas de 1 a 5. O score ponderado define a ordem da fila de desenvolvimento.</t>
  </si>
  <si>
    <t xml:space="preserve">7.1 CRITÉRIOS</t>
  </si>
  <si>
    <t xml:space="preserve">Critério</t>
  </si>
  <si>
    <t xml:space="preserve">Peso</t>
  </si>
  <si>
    <t xml:space="preserve">Nota (1-5)</t>
  </si>
  <si>
    <t xml:space="preserve">Ponderado</t>
  </si>
  <si>
    <t xml:space="preserve">Como pontuar</t>
  </si>
  <si>
    <t xml:space="preserve">Aderência à estratégia e à marca</t>
  </si>
  <si>
    <t xml:space="preserve">5 = usa o território da Leite de Rosas sem forçar. 1 = marca não tem autoridade nenhuma nessa promessa.</t>
  </si>
  <si>
    <t xml:space="preserve">Tamanho da oportunidade (SOM)</t>
  </si>
  <si>
    <t xml:space="preserve">Ancorar no SOM da aba 2. 5 = move o ponteiro do faturamento. 1 = nicho que não paga o esforço.</t>
  </si>
  <si>
    <t xml:space="preserve">Margem de contribuição</t>
  </si>
  <si>
    <t xml:space="preserve">Ancorar no percentual da aba 5. 5 = bem acima da margem média da casa. 1 = abaixo do alvo.</t>
  </si>
  <si>
    <t xml:space="preserve">Investimento requerido (quanto menor, melhor)</t>
  </si>
  <si>
    <t xml:space="preserve">5 = quase sem capex, roda em ativo existente ou terceirizado. 1 = exige linha nova.</t>
  </si>
  <si>
    <t xml:space="preserve">Velocidade até o mercado</t>
  </si>
  <si>
    <t xml:space="preserve">5 = na gôndola em até 6 meses. 1 = mais de 18 meses.</t>
  </si>
  <si>
    <t xml:space="preserve">Complexidade técnica e regulatória (quanto menor, melhor)</t>
  </si>
  <si>
    <t xml:space="preserve">5 = fórmula conhecida, grau de risco 1. 1 = tecnologia nova e registro exigido.</t>
  </si>
  <si>
    <t xml:space="preserve">Sinergia fabril e logística</t>
  </si>
  <si>
    <t xml:space="preserve">5 = mesma linha, mesmo fornecedor, mesma caixa. 1 = tudo novo.</t>
  </si>
  <si>
    <t xml:space="preserve">Força do conceito para o consumidor</t>
  </si>
  <si>
    <t xml:space="preserve">Ancorar em teste de conceito. 5 = intenção de compra alta e benefício claro. 1 = ninguém entendeu.</t>
  </si>
  <si>
    <t xml:space="preserve">Baixo risco de canibalização (quanto menor, melhor)</t>
  </si>
  <si>
    <t xml:space="preserve">5 = volume vem de fora da casa. 1 = tira volume direto do carro-chefe.</t>
  </si>
  <si>
    <t xml:space="preserve">Sustentabilidade da vantagem</t>
  </si>
  <si>
    <t xml:space="preserve">5 = difícil de copiar em 12 meses. 1 = concorrente replica em um trimestre.</t>
  </si>
  <si>
    <t xml:space="preserve">Soma dos pesos</t>
  </si>
  <si>
    <t xml:space="preserve">SCORE PONDERADO (1 a 5)</t>
  </si>
  <si>
    <t xml:space="preserve">Soma dos ponderados. A coluna C mostra quantos critérios já foram pontuados — abaixo de 10, o score está incompleto.</t>
  </si>
  <si>
    <t xml:space="preserve">CLASSIFICAÇÃO</t>
  </si>
  <si>
    <t xml:space="preserve">Faixas de corte definidas pela gestão de portfólio. Ajuste-as se a régua da casa for outra.</t>
  </si>
  <si>
    <t xml:space="preserve">7.2 COMPARATIVO COM OUTROS PROJETOS DA FILA</t>
  </si>
  <si>
    <t xml:space="preserve">Projeto</t>
  </si>
  <si>
    <t xml:space="preserve">Score</t>
  </si>
  <si>
    <t xml:space="preserve">Investimento (R$)</t>
  </si>
  <si>
    <t xml:space="preserve">Este projeto</t>
  </si>
  <si>
    <t xml:space="preserve">Posição deste projeto na fila</t>
  </si>
  <si>
    <t xml:space="preserve">Ranking por score entre os projetos listados. Preencha os concorrentes internos para a comparação fazer sentido.</t>
  </si>
  <si>
    <t xml:space="preserve">8 · CRONOGRAMA STAGE-GATE</t>
  </si>
  <si>
    <t xml:space="preserve">Preencha a data de início e as durações. As datas de término e o encadeamento são calculados.</t>
  </si>
  <si>
    <t xml:space="preserve">8.1 ÂNCORA DO CRONOGRAMA</t>
  </si>
  <si>
    <t xml:space="preserve">Data de início do projeto</t>
  </si>
  <si>
    <t xml:space="preserve">Sem esta data, nenhuma outra é calculada.</t>
  </si>
  <si>
    <t xml:space="preserve">8.2 FASES E GATES</t>
  </si>
  <si>
    <t xml:space="preserve">Fase / entrega</t>
  </si>
  <si>
    <t xml:space="preserve">Gate de saída</t>
  </si>
  <si>
    <t xml:space="preserve">Início</t>
  </si>
  <si>
    <t xml:space="preserve">Duração (dias)</t>
  </si>
  <si>
    <t xml:space="preserve">Término</t>
  </si>
  <si>
    <t xml:space="preserve">% concluído</t>
  </si>
  <si>
    <t xml:space="preserve">Status</t>
  </si>
  <si>
    <t xml:space="preserve">Exploração e abertura do briefing</t>
  </si>
  <si>
    <t xml:space="preserve">G0 — ideia aprovada</t>
  </si>
  <si>
    <t xml:space="preserve">Pesquisa de mercado e benchmark de PDV</t>
  </si>
  <si>
    <t xml:space="preserve">G1 — conceito validado</t>
  </si>
  <si>
    <t xml:space="preserve">Definição de conceito e teste com consumidor</t>
  </si>
  <si>
    <t xml:space="preserve">Desenvolvimento de fórmula em bancada</t>
  </si>
  <si>
    <t xml:space="preserve">G2 — viabilidade técnica</t>
  </si>
  <si>
    <t xml:space="preserve">Definição de embalagem e cotação de fornecedores</t>
  </si>
  <si>
    <t xml:space="preserve">Custeio, precificação e caso de negócio</t>
  </si>
  <si>
    <t xml:space="preserve">G2 — viabilidade econômica</t>
  </si>
  <si>
    <t xml:space="preserve">Aprovação do gate de investimento</t>
  </si>
  <si>
    <t xml:space="preserve">G3 — GO de desenvolvimento</t>
  </si>
  <si>
    <t xml:space="preserve">Estabilidade, compatibilidade e microbiologia</t>
  </si>
  <si>
    <t xml:space="preserve">G3 — dossiê técnico</t>
  </si>
  <si>
    <t xml:space="preserve">Regulatório: notificação ou registro</t>
  </si>
  <si>
    <t xml:space="preserve">G3 — regularização</t>
  </si>
  <si>
    <t xml:space="preserve">Design de embalagem, arte e fotolito</t>
  </si>
  <si>
    <t xml:space="preserve">G4 — arte liberada</t>
  </si>
  <si>
    <t xml:space="preserve">Ferramental, amostras e aprovação de fornecedores</t>
  </si>
  <si>
    <t xml:space="preserve">G4 — suprimentos prontos</t>
  </si>
  <si>
    <t xml:space="preserve">Piloto industrial e validação de linha</t>
  </si>
  <si>
    <t xml:space="preserve">G4 — processo validado</t>
  </si>
  <si>
    <t xml:space="preserve">Cadastro comercial, GTIN e ficha técnica</t>
  </si>
  <si>
    <t xml:space="preserve">G5 — pronto para vender</t>
  </si>
  <si>
    <t xml:space="preserve">Produção do primeiro lote</t>
  </si>
  <si>
    <t xml:space="preserve">G5 — estoque disponível</t>
  </si>
  <si>
    <t xml:space="preserve">Sell-in e lançamento no canal prioritário</t>
  </si>
  <si>
    <t xml:space="preserve">G5 — produto na gôndola</t>
  </si>
  <si>
    <t xml:space="preserve">Acompanhamento pós-lançamento (90 dias)</t>
  </si>
  <si>
    <t xml:space="preserve">Revisão de KPIs</t>
  </si>
  <si>
    <t xml:space="preserve">Duração total (sequencial)</t>
  </si>
  <si>
    <t xml:space="preserve">Cenário 100% sequencial.</t>
  </si>
  <si>
    <t xml:space="preserve">Duração em meses</t>
  </si>
  <si>
    <t xml:space="preserve">Término da fase de sell-in e lançamento.</t>
  </si>
  <si>
    <t xml:space="preserve">Dias restantes até a gôndola</t>
  </si>
  <si>
    <t xml:space="preserve">Recalcula sozinho a cada abertura do arquivo.</t>
  </si>
  <si>
    <t xml:space="preserve">8.3 PARALELIZAÇÃO — ONDE DÁ PARA GANHAR TEMPO</t>
  </si>
  <si>
    <t xml:space="preserve">O cálculo acima é sequencial e propositalmente pessimista: serve de teto. Na prática, estabilidade, regulatório, arte e ferramental correm em paralelo, e é aí que se ganham meses. Estabilidade é quase sempre o caminho crítico — comece por ela assim que a fórmula estiver congelada, não depois da arte aprovada. Em cenário de caixa curto, atrasar o ferramental até a fórmula estar validada evita imobilizar dinheiro em molde de um produto que ainda pode mudar. Registre aqui, fase a fase, o que roda em paralelo e qual é a dependência real entre elas.</t>
  </si>
  <si>
    <t xml:space="preserve">9 · MATRIZ DE RISCOS DO PROJETO</t>
  </si>
  <si>
    <t xml:space="preserve">Probabilidade e impacto de 1 a 5. Severidade e nível são calculados. Risco sem dono e sem prazo não é risco tratado.</t>
  </si>
  <si>
    <t xml:space="preserve">9.1 RISCOS MAPEADOS</t>
  </si>
  <si>
    <t xml:space="preserve">Risco</t>
  </si>
  <si>
    <t xml:space="preserve">Categoria</t>
  </si>
  <si>
    <t xml:space="preserve">Prob. (1-5)</t>
  </si>
  <si>
    <t xml:space="preserve">Impacto (1-5)</t>
  </si>
  <si>
    <t xml:space="preserve">Severidade</t>
  </si>
  <si>
    <t xml:space="preserve">Nível</t>
  </si>
  <si>
    <t xml:space="preserve">Mitigação</t>
  </si>
  <si>
    <t xml:space="preserve">Custo de matéria-prima acima do orçado derruba a margem</t>
  </si>
  <si>
    <t xml:space="preserve">Custo</t>
  </si>
  <si>
    <t xml:space="preserve">Varejo não aceita o preço e exige verba adicional</t>
  </si>
  <si>
    <t xml:space="preserve">Comercial</t>
  </si>
  <si>
    <t xml:space="preserve">MOQ de embalagem imobiliza caixa acima do previsto</t>
  </si>
  <si>
    <t xml:space="preserve">Financeiro</t>
  </si>
  <si>
    <t xml:space="preserve">Estabilidade reprova e obriga a refazer a fórmula</t>
  </si>
  <si>
    <t xml:space="preserve">Técnico</t>
  </si>
  <si>
    <t xml:space="preserve">Notificação ou registro atrasa e trava o lançamento</t>
  </si>
  <si>
    <t xml:space="preserve">Claim sem lastro gera questionamento de órgão ou concorrente</t>
  </si>
  <si>
    <t xml:space="preserve">Jurídico</t>
  </si>
  <si>
    <t xml:space="preserve">Produto canibaliza o carro-chefe em vez de somar volume</t>
  </si>
  <si>
    <t xml:space="preserve">Portfólio</t>
  </si>
  <si>
    <t xml:space="preserve">Concorrente lança conceito equivalente antes</t>
  </si>
  <si>
    <t xml:space="preserve">Competitivo</t>
  </si>
  <si>
    <t xml:space="preserve">Fornecedor único de componente crítico atrasa ou falha</t>
  </si>
  <si>
    <t xml:space="preserve">Suprimentos</t>
  </si>
  <si>
    <t xml:space="preserve">Giro abaixo do previsto gera devolução e ruptura de confiança no canal</t>
  </si>
  <si>
    <t xml:space="preserve">Capacidade fabril insuficiente no pico de demanda</t>
  </si>
  <si>
    <t xml:space="preserve">Operacional</t>
  </si>
  <si>
    <t xml:space="preserve">Investimento estoura o capex autorizado</t>
  </si>
  <si>
    <t xml:space="preserve">Severidade média da carteira de riscos</t>
  </si>
  <si>
    <t xml:space="preserve">Todo risco crítico ou alto precisa de mitigação escrita, dono e prazo antes do gate de investimento.</t>
  </si>
  <si>
    <t xml:space="preserve">Riscos altos sem mitigação definida</t>
  </si>
  <si>
    <t xml:space="preserve">Precisa chegar a zero antes da aprovação.</t>
  </si>
  <si>
    <t xml:space="preserve">9.2 CRITÉRIO DE SEVERIDADE</t>
  </si>
  <si>
    <t xml:space="preserve">Faixa</t>
  </si>
  <si>
    <t xml:space="preserve">Ação exigida</t>
  </si>
  <si>
    <t xml:space="preserve">15 a 25</t>
  </si>
  <si>
    <t xml:space="preserve">CRÍTICO</t>
  </si>
  <si>
    <t xml:space="preserve">Plano de mitigação aprovado pela Diretoria antes do gate. Sem plano, sem GO.</t>
  </si>
  <si>
    <t xml:space="preserve">9 a 14</t>
  </si>
  <si>
    <t xml:space="preserve">ALTO</t>
  </si>
  <si>
    <t xml:space="preserve">Mitigação com dono e prazo, revisada a cada gate.</t>
  </si>
  <si>
    <t xml:space="preserve">4 a 8</t>
  </si>
  <si>
    <t xml:space="preserve">MÉDIO</t>
  </si>
  <si>
    <t xml:space="preserve">Monitorar e reavaliar a cada gate.</t>
  </si>
  <si>
    <t xml:space="preserve">1 a 3</t>
  </si>
  <si>
    <t xml:space="preserve">BAIXO</t>
  </si>
  <si>
    <t xml:space="preserve">Registrar e seguir.</t>
  </si>
  <si>
    <t xml:space="preserve">10 · CHECKLIST DE GATE E REGISTRO DE APROVAÇÃO</t>
  </si>
  <si>
    <t xml:space="preserve">Documento de decisão. Vai assinado para o comitê junto com as abas 6, 7 e 9.</t>
  </si>
  <si>
    <t xml:space="preserve">10.1 CHECKLIST DE PRONTIDÃO PARA O GATE</t>
  </si>
  <si>
    <t xml:space="preserve">Gate</t>
  </si>
  <si>
    <t xml:space="preserve">Data</t>
  </si>
  <si>
    <t xml:space="preserve">Briefing preenchido por completo (aba 1)</t>
  </si>
  <si>
    <t xml:space="preserve">G1</t>
  </si>
  <si>
    <t xml:space="preserve">Dimensionamento de mercado com fonte declarada (aba 2)</t>
  </si>
  <si>
    <t xml:space="preserve">Benchmark com no mínimo 5 SKUs coletados em PDV (aba 2)</t>
  </si>
  <si>
    <t xml:space="preserve">Conceito testado com consumidor</t>
  </si>
  <si>
    <t xml:space="preserve">Especificação técnica alvo definida (aba 3)</t>
  </si>
  <si>
    <t xml:space="preserve">G2</t>
  </si>
  <si>
    <t xml:space="preserve">Enquadramento regulatório confirmado (aba 3)</t>
  </si>
  <si>
    <t xml:space="preserve">Cada claim com plano de comprovação (aba 3)</t>
  </si>
  <si>
    <t xml:space="preserve">Embalagem cotada com no mínimo 2 fornecedores (aba 4)</t>
  </si>
  <si>
    <t xml:space="preserve">BOM fechando 100% e custo industrial calculado (aba 5)</t>
  </si>
  <si>
    <t xml:space="preserve">Margem de contribuição igual ou acima do alvo (aba 5)</t>
  </si>
  <si>
    <t xml:space="preserve">Caso de negócio com VPL, TIR e payback (aba 6)</t>
  </si>
  <si>
    <t xml:space="preserve">G3</t>
  </si>
  <si>
    <t xml:space="preserve">Investimento dentro do capex autorizado (aba 6)</t>
  </si>
  <si>
    <t xml:space="preserve">Scorecard pontuado e classificado (aba 7)</t>
  </si>
  <si>
    <t xml:space="preserve">Cronograma com responsáveis por fase (aba 8)</t>
  </si>
  <si>
    <t xml:space="preserve">Riscos críticos e altos com mitigação e dono (aba 9)</t>
  </si>
  <si>
    <t xml:space="preserve">Estabilidade e microbiologia aprovadas</t>
  </si>
  <si>
    <t xml:space="preserve">G4</t>
  </si>
  <si>
    <t xml:space="preserve">Regularização concluída junto à ANVISA</t>
  </si>
  <si>
    <t xml:space="preserve">Arte aprovada por regulatório, jurídico e marketing</t>
  </si>
  <si>
    <t xml:space="preserve">Piloto industrial validado</t>
  </si>
  <si>
    <t xml:space="preserve">Cadastro comercial, GTIN e ficha técnica prontos</t>
  </si>
  <si>
    <t xml:space="preserve">G5</t>
  </si>
  <si>
    <t xml:space="preserve">Plano de sell-in e verba de lançamento aprovados</t>
  </si>
  <si>
    <t xml:space="preserve">Primeiro lote produzido e disponível</t>
  </si>
  <si>
    <t xml:space="preserve">Prontidão geral</t>
  </si>
  <si>
    <t xml:space="preserve">Pendências abertas</t>
  </si>
  <si>
    <t xml:space="preserve">Itens marcados como Não.</t>
  </si>
  <si>
    <t xml:space="preserve">10.2 SÍNTESE PARA O COMITÊ</t>
  </si>
  <si>
    <t xml:space="preserve">Aba 7</t>
  </si>
  <si>
    <t xml:space="preserve">Classificação</t>
  </si>
  <si>
    <t xml:space="preserve">Aba 5</t>
  </si>
  <si>
    <t xml:space="preserve">Investimento total</t>
  </si>
  <si>
    <t xml:space="preserve">Aba 6</t>
  </si>
  <si>
    <t xml:space="preserve">Aba 9</t>
  </si>
  <si>
    <t xml:space="preserve">Prontidão do checklist</t>
  </si>
  <si>
    <t xml:space="preserve">Aba 10</t>
  </si>
  <si>
    <t xml:space="preserve">10.3 DECISÃO</t>
  </si>
  <si>
    <t xml:space="preserve">Registro</t>
  </si>
  <si>
    <t xml:space="preserve">Decisão do comitê</t>
  </si>
  <si>
    <t xml:space="preserve">GO | GO condicionado | AJUSTAR e retornar | NO-GO</t>
  </si>
  <si>
    <t xml:space="preserve">Condicionantes da aprovação</t>
  </si>
  <si>
    <t xml:space="preserve">O que precisa acontecer para o GO se manter válido.</t>
  </si>
  <si>
    <t xml:space="preserve">Data da decisão</t>
  </si>
  <si>
    <t xml:space="preserve">Data da reunião de gate.</t>
  </si>
  <si>
    <t xml:space="preserve">Próximo gate e data prevista</t>
  </si>
  <si>
    <t xml:space="preserve">Quando o projeto volta ao comitê.</t>
  </si>
  <si>
    <t xml:space="preserve">Aprovador — Marketing / Produto</t>
  </si>
  <si>
    <t xml:space="preserve">Nome e data.</t>
  </si>
  <si>
    <t xml:space="preserve">Aprovador — Industrial / P&amp;D</t>
  </si>
  <si>
    <t xml:space="preserve">Aprovador — Comercial</t>
  </si>
  <si>
    <t xml:space="preserve">Aprovador — Financeiro</t>
  </si>
  <si>
    <t xml:space="preserve">Aprovador — Diretoria Executiva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</si>
</sst>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#,##0;\(#,##0\);\-"/>
    <numFmt numFmtId="167" formatCode="&quot;R$ &quot;#,##0;&quot;(R$ &quot;#,##0\);\-"/>
    <numFmt numFmtId="168" formatCode="0.0%;\(0.0%\);\-"/>
    <numFmt numFmtId="169" formatCode="&quot;R$ &quot;#,##0.00;&quot;(R$ &quot;#,##0.00\);\-"/>
    <numFmt numFmtId="170" formatCode="#,##0.00;\(#,##0.00\);\-"/>
    <numFmt numFmtId="171" formatCode="0.0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i val="true"/>
      <sz val="10"/>
      <color rgb="FFA6005F"/>
      <name val="Arial"/>
      <family val="0"/>
      <charset val="1"/>
    </font>
    <font>
      <b val="true"/>
      <sz val="10"/>
      <color rgb="FFA6005F"/>
      <name val="Arial"/>
      <family val="0"/>
      <charset val="1"/>
    </font>
    <font>
      <sz val="10"/>
      <name val="Arial"/>
      <family val="2"/>
    </font>
    <font>
      <b val="true"/>
      <sz val="11"/>
      <color rgb="FFA600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C008C"/>
        <bgColor rgb="FFFF00FF"/>
      </patternFill>
    </fill>
    <fill>
      <patternFill patternType="solid">
        <fgColor rgb="FFA6005F"/>
        <bgColor rgb="FF800080"/>
      </patternFill>
    </fill>
    <fill>
      <patternFill patternType="solid">
        <fgColor rgb="FFFFFF99"/>
        <bgColor rgb="FFF2F2F2"/>
      </patternFill>
    </fill>
    <fill>
      <patternFill patternType="solid">
        <fgColor rgb="FFFCE4F1"/>
        <bgColor rgb="FFF2F2F2"/>
      </patternFill>
    </fill>
    <fill>
      <patternFill patternType="solid">
        <fgColor rgb="FFF2F2F2"/>
        <bgColor rgb="FFFCE4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EC008C"/>
      <rgbColor rgb="FF00FFFF"/>
      <rgbColor rgb="FF800000"/>
      <rgbColor rgb="FF008000"/>
      <rgbColor rgb="FF000080"/>
      <rgbColor rgb="FF808000"/>
      <rgbColor rgb="FFA6005F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FCE4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008C"/>
    <pageSetUpPr fitToPage="false"/>
  </sheetPr>
  <dimension ref="A1:C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92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.75" hidden="false" customHeight="tru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A4" s="3" t="s">
        <v>2</v>
      </c>
      <c r="B4" s="3"/>
      <c r="C4" s="3"/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30" hidden="false" customHeight="true" outlineLevel="0" collapsed="false">
      <c r="A6" s="5" t="s">
        <v>6</v>
      </c>
      <c r="B6" s="5" t="s">
        <v>7</v>
      </c>
      <c r="C6" s="6" t="s">
        <v>8</v>
      </c>
    </row>
    <row r="7" customFormat="false" ht="30" hidden="false" customHeight="true" outlineLevel="0" collapsed="false">
      <c r="A7" s="5" t="s">
        <v>9</v>
      </c>
      <c r="B7" s="5" t="s">
        <v>10</v>
      </c>
      <c r="C7" s="6" t="s">
        <v>11</v>
      </c>
    </row>
    <row r="8" customFormat="false" ht="30" hidden="false" customHeight="true" outlineLevel="0" collapsed="false">
      <c r="A8" s="5" t="s">
        <v>12</v>
      </c>
      <c r="B8" s="5" t="s">
        <v>13</v>
      </c>
      <c r="C8" s="6" t="s">
        <v>14</v>
      </c>
    </row>
    <row r="9" customFormat="false" ht="30" hidden="false" customHeight="true" outlineLevel="0" collapsed="false">
      <c r="A9" s="5" t="s">
        <v>15</v>
      </c>
      <c r="B9" s="5" t="s">
        <v>16</v>
      </c>
      <c r="C9" s="6" t="s">
        <v>17</v>
      </c>
    </row>
    <row r="10" customFormat="false" ht="30" hidden="false" customHeight="true" outlineLevel="0" collapsed="false">
      <c r="A10" s="5" t="s">
        <v>18</v>
      </c>
      <c r="B10" s="5" t="s">
        <v>19</v>
      </c>
      <c r="C10" s="6" t="s">
        <v>20</v>
      </c>
    </row>
    <row r="12" customFormat="false" ht="19.5" hidden="false" customHeight="true" outlineLevel="0" collapsed="false">
      <c r="A12" s="3" t="s">
        <v>21</v>
      </c>
      <c r="B12" s="3"/>
      <c r="C12" s="3"/>
    </row>
    <row r="13" customFormat="false" ht="27.75" hidden="false" customHeight="true" outlineLevel="0" collapsed="false">
      <c r="A13" s="4"/>
      <c r="B13" s="4" t="s">
        <v>22</v>
      </c>
      <c r="C13" s="4" t="s">
        <v>23</v>
      </c>
    </row>
    <row r="14" customFormat="false" ht="21.75" hidden="false" customHeight="true" outlineLevel="0" collapsed="false">
      <c r="A14" s="6"/>
      <c r="B14" s="7" t="s">
        <v>24</v>
      </c>
      <c r="C14" s="6" t="s">
        <v>25</v>
      </c>
    </row>
    <row r="15" customFormat="false" ht="21.75" hidden="false" customHeight="true" outlineLevel="0" collapsed="false">
      <c r="A15" s="6"/>
      <c r="B15" s="8" t="s">
        <v>24</v>
      </c>
      <c r="C15" s="6" t="s">
        <v>26</v>
      </c>
    </row>
    <row r="16" customFormat="false" ht="21.75" hidden="false" customHeight="true" outlineLevel="0" collapsed="false">
      <c r="A16" s="6"/>
      <c r="B16" s="9" t="s">
        <v>24</v>
      </c>
      <c r="C16" s="6" t="s">
        <v>27</v>
      </c>
    </row>
    <row r="18" customFormat="false" ht="19.5" hidden="false" customHeight="true" outlineLevel="0" collapsed="false">
      <c r="A18" s="3" t="s">
        <v>28</v>
      </c>
      <c r="B18" s="3"/>
      <c r="C18" s="3"/>
    </row>
    <row r="19" customFormat="false" ht="27.75" hidden="false" customHeight="true" outlineLevel="0" collapsed="false">
      <c r="A19" s="4" t="s">
        <v>3</v>
      </c>
      <c r="B19" s="4" t="s">
        <v>29</v>
      </c>
      <c r="C19" s="4" t="s">
        <v>30</v>
      </c>
    </row>
    <row r="20" customFormat="false" ht="45.75" hidden="false" customHeight="true" outlineLevel="0" collapsed="false">
      <c r="A20" s="5" t="n">
        <v>1</v>
      </c>
      <c r="B20" s="5" t="s">
        <v>31</v>
      </c>
      <c r="C20" s="6" t="s">
        <v>32</v>
      </c>
    </row>
    <row r="21" customFormat="false" ht="45.75" hidden="false" customHeight="true" outlineLevel="0" collapsed="false">
      <c r="A21" s="5" t="n">
        <v>2</v>
      </c>
      <c r="B21" s="5" t="s">
        <v>33</v>
      </c>
      <c r="C21" s="6" t="s">
        <v>34</v>
      </c>
    </row>
    <row r="22" customFormat="false" ht="45.75" hidden="false" customHeight="true" outlineLevel="0" collapsed="false">
      <c r="A22" s="5" t="n">
        <v>3</v>
      </c>
      <c r="B22" s="5" t="s">
        <v>35</v>
      </c>
      <c r="C22" s="6" t="s">
        <v>36</v>
      </c>
    </row>
    <row r="23" customFormat="false" ht="45.75" hidden="false" customHeight="true" outlineLevel="0" collapsed="false">
      <c r="A23" s="5" t="n">
        <v>4</v>
      </c>
      <c r="B23" s="5" t="s">
        <v>37</v>
      </c>
      <c r="C23" s="6" t="s">
        <v>38</v>
      </c>
    </row>
    <row r="24" customFormat="false" ht="45.75" hidden="false" customHeight="true" outlineLevel="0" collapsed="false">
      <c r="A24" s="5" t="n">
        <v>5</v>
      </c>
      <c r="B24" s="5" t="s">
        <v>39</v>
      </c>
      <c r="C24" s="6" t="s">
        <v>40</v>
      </c>
    </row>
    <row r="26" customFormat="false" ht="19.5" hidden="false" customHeight="true" outlineLevel="0" collapsed="false">
      <c r="A26" s="3" t="s">
        <v>41</v>
      </c>
      <c r="B26" s="3"/>
      <c r="C26" s="3"/>
    </row>
    <row r="27" customFormat="false" ht="27.75" hidden="false" customHeight="true" outlineLevel="0" collapsed="false">
      <c r="A27" s="4" t="s">
        <v>3</v>
      </c>
      <c r="B27" s="4" t="s">
        <v>42</v>
      </c>
      <c r="C27" s="4" t="s">
        <v>43</v>
      </c>
    </row>
    <row r="28" customFormat="false" ht="33.75" hidden="false" customHeight="true" outlineLevel="0" collapsed="false">
      <c r="A28" s="5" t="n">
        <v>1</v>
      </c>
      <c r="B28" s="5" t="s">
        <v>44</v>
      </c>
      <c r="C28" s="6" t="s">
        <v>45</v>
      </c>
    </row>
    <row r="29" customFormat="false" ht="33.75" hidden="false" customHeight="true" outlineLevel="0" collapsed="false">
      <c r="A29" s="5" t="n">
        <v>2</v>
      </c>
      <c r="B29" s="5" t="s">
        <v>46</v>
      </c>
      <c r="C29" s="6" t="s">
        <v>47</v>
      </c>
    </row>
    <row r="30" customFormat="false" ht="33.75" hidden="false" customHeight="true" outlineLevel="0" collapsed="false">
      <c r="A30" s="5" t="n">
        <v>3</v>
      </c>
      <c r="B30" s="5" t="s">
        <v>48</v>
      </c>
      <c r="C30" s="6" t="s">
        <v>49</v>
      </c>
    </row>
    <row r="31" customFormat="false" ht="33.75" hidden="false" customHeight="true" outlineLevel="0" collapsed="false">
      <c r="A31" s="5" t="n">
        <v>4</v>
      </c>
      <c r="B31" s="5" t="s">
        <v>50</v>
      </c>
      <c r="C31" s="6" t="s">
        <v>51</v>
      </c>
    </row>
    <row r="32" customFormat="false" ht="33.75" hidden="false" customHeight="true" outlineLevel="0" collapsed="false">
      <c r="A32" s="5" t="n">
        <v>5</v>
      </c>
      <c r="B32" s="5" t="s">
        <v>52</v>
      </c>
      <c r="C32" s="6" t="s">
        <v>53</v>
      </c>
    </row>
    <row r="33" customFormat="false" ht="33.75" hidden="false" customHeight="true" outlineLevel="0" collapsed="false">
      <c r="A33" s="5" t="n">
        <v>6</v>
      </c>
      <c r="B33" s="5" t="s">
        <v>54</v>
      </c>
      <c r="C33" s="6" t="s">
        <v>55</v>
      </c>
    </row>
    <row r="34" customFormat="false" ht="33.75" hidden="false" customHeight="true" outlineLevel="0" collapsed="false">
      <c r="A34" s="5" t="n">
        <v>7</v>
      </c>
      <c r="B34" s="5" t="s">
        <v>56</v>
      </c>
      <c r="C34" s="6" t="s">
        <v>57</v>
      </c>
    </row>
    <row r="35" customFormat="false" ht="33.75" hidden="false" customHeight="true" outlineLevel="0" collapsed="false">
      <c r="A35" s="5" t="n">
        <v>8</v>
      </c>
      <c r="B35" s="5" t="s">
        <v>58</v>
      </c>
      <c r="C35" s="6" t="s">
        <v>59</v>
      </c>
    </row>
    <row r="36" customFormat="false" ht="33.75" hidden="false" customHeight="true" outlineLevel="0" collapsed="false">
      <c r="A36" s="5" t="n">
        <v>9</v>
      </c>
      <c r="B36" s="5" t="s">
        <v>60</v>
      </c>
      <c r="C36" s="6" t="s">
        <v>61</v>
      </c>
    </row>
    <row r="37" customFormat="false" ht="33.75" hidden="false" customHeight="true" outlineLevel="0" collapsed="false">
      <c r="A37" s="5" t="n">
        <v>10</v>
      </c>
      <c r="B37" s="5" t="s">
        <v>62</v>
      </c>
      <c r="C37" s="6" t="s">
        <v>63</v>
      </c>
    </row>
    <row r="38" customFormat="false" ht="33.75" hidden="false" customHeight="true" outlineLevel="0" collapsed="false">
      <c r="A38" s="5" t="n">
        <v>11</v>
      </c>
      <c r="B38" s="5" t="s">
        <v>64</v>
      </c>
      <c r="C38" s="6" t="s">
        <v>65</v>
      </c>
    </row>
    <row r="39" customFormat="false" ht="33.75" hidden="false" customHeight="true" outlineLevel="0" collapsed="false">
      <c r="A39" s="5" t="n">
        <v>12</v>
      </c>
      <c r="B39" s="5" t="s">
        <v>66</v>
      </c>
      <c r="C39" s="6" t="s">
        <v>67</v>
      </c>
    </row>
    <row r="40" customFormat="false" ht="33.75" hidden="false" customHeight="true" outlineLevel="0" collapsed="false">
      <c r="A40" s="5" t="n">
        <v>13</v>
      </c>
      <c r="B40" s="5" t="s">
        <v>68</v>
      </c>
      <c r="C40" s="6" t="s">
        <v>69</v>
      </c>
    </row>
    <row r="41" customFormat="false" ht="33.75" hidden="false" customHeight="true" outlineLevel="0" collapsed="false">
      <c r="A41" s="5" t="n">
        <v>14</v>
      </c>
      <c r="B41" s="5" t="s">
        <v>70</v>
      </c>
      <c r="C41" s="6" t="s">
        <v>71</v>
      </c>
    </row>
    <row r="42" customFormat="false" ht="33.75" hidden="false" customHeight="true" outlineLevel="0" collapsed="false">
      <c r="A42" s="5" t="n">
        <v>15</v>
      </c>
      <c r="B42" s="5" t="s">
        <v>72</v>
      </c>
      <c r="C42" s="6" t="s">
        <v>73</v>
      </c>
    </row>
    <row r="43" customFormat="false" ht="33.75" hidden="false" customHeight="true" outlineLevel="0" collapsed="false">
      <c r="A43" s="5" t="n">
        <v>16</v>
      </c>
      <c r="B43" s="5" t="s">
        <v>74</v>
      </c>
      <c r="C43" s="6" t="s">
        <v>75</v>
      </c>
    </row>
    <row r="44" customFormat="false" ht="33.75" hidden="false" customHeight="true" outlineLevel="0" collapsed="false">
      <c r="A44" s="5" t="n">
        <v>17</v>
      </c>
      <c r="B44" s="5" t="s">
        <v>76</v>
      </c>
      <c r="C44" s="6" t="s">
        <v>77</v>
      </c>
    </row>
    <row r="45" customFormat="false" ht="33.75" hidden="false" customHeight="true" outlineLevel="0" collapsed="false">
      <c r="A45" s="5" t="n">
        <v>18</v>
      </c>
      <c r="B45" s="5" t="s">
        <v>78</v>
      </c>
      <c r="C45" s="6" t="s">
        <v>79</v>
      </c>
    </row>
    <row r="47" customFormat="false" ht="19.5" hidden="false" customHeight="true" outlineLevel="0" collapsed="false">
      <c r="A47" s="3" t="s">
        <v>80</v>
      </c>
      <c r="B47" s="3"/>
      <c r="C47" s="3"/>
    </row>
    <row r="48" customFormat="false" ht="27.75" hidden="false" customHeight="true" outlineLevel="0" collapsed="false">
      <c r="A48" s="4" t="s">
        <v>3</v>
      </c>
      <c r="B48" s="4" t="s">
        <v>42</v>
      </c>
      <c r="C48" s="4" t="s">
        <v>81</v>
      </c>
    </row>
    <row r="49" customFormat="false" ht="43.5" hidden="false" customHeight="true" outlineLevel="0" collapsed="false">
      <c r="A49" s="5" t="n">
        <v>1</v>
      </c>
      <c r="B49" s="5" t="s">
        <v>82</v>
      </c>
      <c r="C49" s="6" t="s">
        <v>83</v>
      </c>
    </row>
    <row r="50" customFormat="false" ht="43.5" hidden="false" customHeight="true" outlineLevel="0" collapsed="false">
      <c r="A50" s="5" t="n">
        <v>2</v>
      </c>
      <c r="B50" s="5" t="s">
        <v>84</v>
      </c>
      <c r="C50" s="6" t="s">
        <v>85</v>
      </c>
    </row>
    <row r="51" customFormat="false" ht="43.5" hidden="false" customHeight="true" outlineLevel="0" collapsed="false">
      <c r="A51" s="5" t="n">
        <v>3</v>
      </c>
      <c r="B51" s="5" t="s">
        <v>86</v>
      </c>
      <c r="C51" s="6" t="s">
        <v>87</v>
      </c>
    </row>
    <row r="52" customFormat="false" ht="43.5" hidden="false" customHeight="true" outlineLevel="0" collapsed="false">
      <c r="A52" s="5" t="n">
        <v>4</v>
      </c>
      <c r="B52" s="5" t="s">
        <v>88</v>
      </c>
      <c r="C52" s="6" t="s">
        <v>89</v>
      </c>
    </row>
    <row r="53" customFormat="false" ht="43.5" hidden="false" customHeight="true" outlineLevel="0" collapsed="false">
      <c r="A53" s="5" t="n">
        <v>5</v>
      </c>
      <c r="B53" s="5" t="s">
        <v>90</v>
      </c>
      <c r="C53" s="6" t="s">
        <v>91</v>
      </c>
    </row>
    <row r="54" customFormat="false" ht="43.5" hidden="false" customHeight="true" outlineLevel="0" collapsed="false">
      <c r="A54" s="5" t="n">
        <v>6</v>
      </c>
      <c r="B54" s="5" t="s">
        <v>92</v>
      </c>
      <c r="C54" s="6" t="s">
        <v>93</v>
      </c>
    </row>
  </sheetData>
  <mergeCells count="7">
    <mergeCell ref="A1:C1"/>
    <mergeCell ref="A2:C2"/>
    <mergeCell ref="A4:C4"/>
    <mergeCell ref="A12:C12"/>
    <mergeCell ref="A18:C18"/>
    <mergeCell ref="A26:C26"/>
    <mergeCell ref="A47:C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008C"/>
    <pageSetUpPr fitToPage="false"/>
  </sheetPr>
  <dimension ref="A1:C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74"/>
  </cols>
  <sheetData>
    <row r="1" customFormat="false" ht="30" hidden="false" customHeight="true" outlineLevel="0" collapsed="false">
      <c r="A1" s="1" t="s">
        <v>94</v>
      </c>
      <c r="B1" s="1"/>
      <c r="C1" s="1"/>
    </row>
    <row r="2" customFormat="false" ht="15.75" hidden="false" customHeight="true" outlineLevel="0" collapsed="false">
      <c r="A2" s="2" t="s">
        <v>95</v>
      </c>
      <c r="B2" s="2"/>
      <c r="C2" s="2"/>
    </row>
    <row r="4" customFormat="false" ht="19.5" hidden="false" customHeight="true" outlineLevel="0" collapsed="false">
      <c r="A4" s="3" t="s">
        <v>96</v>
      </c>
      <c r="B4" s="3"/>
      <c r="C4" s="3"/>
    </row>
    <row r="5" customFormat="false" ht="27.75" hidden="false" customHeight="true" outlineLevel="0" collapsed="false">
      <c r="A5" s="4" t="s">
        <v>97</v>
      </c>
      <c r="B5" s="4" t="s">
        <v>98</v>
      </c>
      <c r="C5" s="4" t="s">
        <v>99</v>
      </c>
    </row>
    <row r="6" customFormat="false" ht="25.5" hidden="false" customHeight="true" outlineLevel="0" collapsed="false">
      <c r="A6" s="10" t="s">
        <v>100</v>
      </c>
      <c r="B6" s="11"/>
      <c r="C6" s="12" t="s">
        <v>101</v>
      </c>
    </row>
    <row r="7" customFormat="false" ht="25.5" hidden="false" customHeight="true" outlineLevel="0" collapsed="false">
      <c r="A7" s="10" t="s">
        <v>102</v>
      </c>
      <c r="B7" s="11"/>
      <c r="C7" s="12" t="s">
        <v>103</v>
      </c>
    </row>
    <row r="8" customFormat="false" ht="25.5" hidden="false" customHeight="true" outlineLevel="0" collapsed="false">
      <c r="A8" s="10" t="s">
        <v>104</v>
      </c>
      <c r="B8" s="11"/>
      <c r="C8" s="12" t="s">
        <v>105</v>
      </c>
    </row>
    <row r="9" customFormat="false" ht="25.5" hidden="false" customHeight="true" outlineLevel="0" collapsed="false">
      <c r="A9" s="10" t="s">
        <v>106</v>
      </c>
      <c r="B9" s="11"/>
      <c r="C9" s="12" t="s">
        <v>107</v>
      </c>
    </row>
    <row r="10" customFormat="false" ht="25.5" hidden="false" customHeight="true" outlineLevel="0" collapsed="false">
      <c r="A10" s="10" t="s">
        <v>108</v>
      </c>
      <c r="B10" s="11"/>
      <c r="C10" s="12" t="s">
        <v>109</v>
      </c>
    </row>
    <row r="11" customFormat="false" ht="25.5" hidden="false" customHeight="true" outlineLevel="0" collapsed="false">
      <c r="A11" s="10" t="s">
        <v>110</v>
      </c>
      <c r="B11" s="11"/>
      <c r="C11" s="12" t="s">
        <v>111</v>
      </c>
    </row>
    <row r="12" customFormat="false" ht="25.5" hidden="false" customHeight="true" outlineLevel="0" collapsed="false">
      <c r="A12" s="10" t="s">
        <v>112</v>
      </c>
      <c r="B12" s="11"/>
      <c r="C12" s="12" t="s">
        <v>113</v>
      </c>
    </row>
    <row r="13" customFormat="false" ht="25.5" hidden="false" customHeight="true" outlineLevel="0" collapsed="false">
      <c r="A13" s="10" t="s">
        <v>114</v>
      </c>
      <c r="B13" s="13"/>
      <c r="C13" s="12" t="s">
        <v>115</v>
      </c>
    </row>
    <row r="14" customFormat="false" ht="25.5" hidden="false" customHeight="true" outlineLevel="0" collapsed="false">
      <c r="A14" s="10" t="s">
        <v>116</v>
      </c>
      <c r="B14" s="11"/>
      <c r="C14" s="12" t="s">
        <v>117</v>
      </c>
    </row>
    <row r="15" customFormat="false" ht="25.5" hidden="false" customHeight="true" outlineLevel="0" collapsed="false">
      <c r="A15" s="10" t="s">
        <v>118</v>
      </c>
      <c r="B15" s="11"/>
      <c r="C15" s="12" t="s">
        <v>119</v>
      </c>
    </row>
    <row r="17" customFormat="false" ht="19.5" hidden="false" customHeight="true" outlineLevel="0" collapsed="false">
      <c r="A17" s="3" t="s">
        <v>120</v>
      </c>
      <c r="B17" s="3"/>
      <c r="C17" s="3"/>
    </row>
    <row r="18" customFormat="false" ht="27.75" hidden="false" customHeight="true" outlineLevel="0" collapsed="false">
      <c r="A18" s="4" t="s">
        <v>97</v>
      </c>
      <c r="B18" s="4" t="s">
        <v>98</v>
      </c>
      <c r="C18" s="4" t="s">
        <v>99</v>
      </c>
    </row>
    <row r="19" customFormat="false" ht="25.5" hidden="false" customHeight="true" outlineLevel="0" collapsed="false">
      <c r="A19" s="10" t="s">
        <v>121</v>
      </c>
      <c r="B19" s="11"/>
      <c r="C19" s="12" t="s">
        <v>122</v>
      </c>
    </row>
    <row r="20" customFormat="false" ht="25.5" hidden="false" customHeight="true" outlineLevel="0" collapsed="false">
      <c r="A20" s="10" t="s">
        <v>123</v>
      </c>
      <c r="B20" s="11"/>
      <c r="C20" s="12" t="s">
        <v>124</v>
      </c>
    </row>
    <row r="21" customFormat="false" ht="25.5" hidden="false" customHeight="true" outlineLevel="0" collapsed="false">
      <c r="A21" s="10" t="s">
        <v>125</v>
      </c>
      <c r="B21" s="11"/>
      <c r="C21" s="12" t="s">
        <v>126</v>
      </c>
    </row>
    <row r="22" customFormat="false" ht="25.5" hidden="false" customHeight="true" outlineLevel="0" collapsed="false">
      <c r="A22" s="10" t="s">
        <v>127</v>
      </c>
      <c r="B22" s="11"/>
      <c r="C22" s="12" t="s">
        <v>128</v>
      </c>
    </row>
    <row r="23" customFormat="false" ht="25.5" hidden="false" customHeight="true" outlineLevel="0" collapsed="false">
      <c r="A23" s="10" t="s">
        <v>129</v>
      </c>
      <c r="B23" s="11"/>
      <c r="C23" s="12" t="s">
        <v>130</v>
      </c>
    </row>
    <row r="25" customFormat="false" ht="19.5" hidden="false" customHeight="true" outlineLevel="0" collapsed="false">
      <c r="A25" s="3" t="s">
        <v>131</v>
      </c>
      <c r="B25" s="3"/>
      <c r="C25" s="3"/>
    </row>
    <row r="26" customFormat="false" ht="27.75" hidden="false" customHeight="true" outlineLevel="0" collapsed="false">
      <c r="A26" s="4" t="s">
        <v>97</v>
      </c>
      <c r="B26" s="4" t="s">
        <v>98</v>
      </c>
      <c r="C26" s="4" t="s">
        <v>99</v>
      </c>
    </row>
    <row r="27" customFormat="false" ht="25.5" hidden="false" customHeight="true" outlineLevel="0" collapsed="false">
      <c r="A27" s="10" t="s">
        <v>132</v>
      </c>
      <c r="B27" s="11"/>
      <c r="C27" s="12" t="s">
        <v>133</v>
      </c>
    </row>
    <row r="28" customFormat="false" ht="25.5" hidden="false" customHeight="true" outlineLevel="0" collapsed="false">
      <c r="A28" s="10" t="s">
        <v>134</v>
      </c>
      <c r="B28" s="14"/>
      <c r="C28" s="12" t="s">
        <v>135</v>
      </c>
    </row>
    <row r="29" customFormat="false" ht="25.5" hidden="false" customHeight="true" outlineLevel="0" collapsed="false">
      <c r="A29" s="10" t="s">
        <v>136</v>
      </c>
      <c r="B29" s="15"/>
      <c r="C29" s="12" t="s">
        <v>137</v>
      </c>
    </row>
    <row r="30" customFormat="false" ht="25.5" hidden="false" customHeight="true" outlineLevel="0" collapsed="false">
      <c r="A30" s="10" t="s">
        <v>138</v>
      </c>
      <c r="B30" s="16"/>
      <c r="C30" s="12" t="s">
        <v>139</v>
      </c>
    </row>
    <row r="31" customFormat="false" ht="25.5" hidden="false" customHeight="true" outlineLevel="0" collapsed="false">
      <c r="A31" s="10" t="s">
        <v>140</v>
      </c>
      <c r="B31" s="14"/>
      <c r="C31" s="12" t="s">
        <v>141</v>
      </c>
    </row>
    <row r="33" customFormat="false" ht="19.5" hidden="false" customHeight="true" outlineLevel="0" collapsed="false">
      <c r="A33" s="3" t="s">
        <v>142</v>
      </c>
      <c r="B33" s="3"/>
      <c r="C33" s="3"/>
    </row>
    <row r="34" customFormat="false" ht="27.75" hidden="false" customHeight="true" outlineLevel="0" collapsed="false">
      <c r="A34" s="4" t="s">
        <v>97</v>
      </c>
      <c r="B34" s="4" t="s">
        <v>98</v>
      </c>
      <c r="C34" s="4" t="s">
        <v>99</v>
      </c>
    </row>
    <row r="35" customFormat="false" ht="25.5" hidden="false" customHeight="true" outlineLevel="0" collapsed="false">
      <c r="A35" s="10" t="s">
        <v>143</v>
      </c>
      <c r="B35" s="11"/>
      <c r="C35" s="12" t="s">
        <v>144</v>
      </c>
    </row>
    <row r="36" customFormat="false" ht="25.5" hidden="false" customHeight="true" outlineLevel="0" collapsed="false">
      <c r="A36" s="10" t="s">
        <v>145</v>
      </c>
      <c r="B36" s="11"/>
      <c r="C36" s="12" t="s">
        <v>146</v>
      </c>
    </row>
    <row r="37" customFormat="false" ht="25.5" hidden="false" customHeight="true" outlineLevel="0" collapsed="false">
      <c r="A37" s="10" t="s">
        <v>147</v>
      </c>
      <c r="B37" s="11"/>
      <c r="C37" s="12" t="s">
        <v>148</v>
      </c>
    </row>
    <row r="38" customFormat="false" ht="25.5" hidden="false" customHeight="true" outlineLevel="0" collapsed="false">
      <c r="A38" s="10" t="s">
        <v>149</v>
      </c>
      <c r="B38" s="11"/>
      <c r="C38" s="12" t="s">
        <v>150</v>
      </c>
    </row>
    <row r="39" customFormat="false" ht="25.5" hidden="false" customHeight="true" outlineLevel="0" collapsed="false">
      <c r="A39" s="10" t="s">
        <v>151</v>
      </c>
      <c r="B39" s="11"/>
      <c r="C39" s="12" t="s">
        <v>152</v>
      </c>
    </row>
    <row r="40" customFormat="false" ht="25.5" hidden="false" customHeight="true" outlineLevel="0" collapsed="false">
      <c r="A40" s="10" t="s">
        <v>153</v>
      </c>
      <c r="B40" s="11"/>
      <c r="C40" s="12" t="s">
        <v>154</v>
      </c>
    </row>
    <row r="42" customFormat="false" ht="19.5" hidden="false" customHeight="true" outlineLevel="0" collapsed="false">
      <c r="A42" s="3" t="s">
        <v>155</v>
      </c>
      <c r="B42" s="3"/>
      <c r="C42" s="3"/>
    </row>
    <row r="43" customFormat="false" ht="27.75" hidden="false" customHeight="true" outlineLevel="0" collapsed="false">
      <c r="A43" s="4" t="s">
        <v>97</v>
      </c>
      <c r="B43" s="4" t="s">
        <v>98</v>
      </c>
      <c r="C43" s="4" t="s">
        <v>99</v>
      </c>
    </row>
    <row r="44" customFormat="false" ht="25.5" hidden="false" customHeight="true" outlineLevel="0" collapsed="false">
      <c r="A44" s="10" t="s">
        <v>156</v>
      </c>
      <c r="B44" s="11"/>
      <c r="C44" s="12" t="s">
        <v>157</v>
      </c>
    </row>
    <row r="45" customFormat="false" ht="25.5" hidden="false" customHeight="true" outlineLevel="0" collapsed="false">
      <c r="A45" s="10" t="s">
        <v>158</v>
      </c>
      <c r="B45" s="11"/>
      <c r="C45" s="12" t="s">
        <v>159</v>
      </c>
    </row>
    <row r="46" customFormat="false" ht="25.5" hidden="false" customHeight="true" outlineLevel="0" collapsed="false">
      <c r="A46" s="10" t="s">
        <v>160</v>
      </c>
      <c r="B46" s="11"/>
      <c r="C46" s="12" t="s">
        <v>161</v>
      </c>
    </row>
    <row r="47" customFormat="false" ht="25.5" hidden="false" customHeight="true" outlineLevel="0" collapsed="false">
      <c r="A47" s="10" t="s">
        <v>162</v>
      </c>
      <c r="B47" s="11"/>
      <c r="C47" s="12" t="s">
        <v>163</v>
      </c>
    </row>
    <row r="48" customFormat="false" ht="25.5" hidden="false" customHeight="true" outlineLevel="0" collapsed="false">
      <c r="A48" s="10" t="s">
        <v>164</v>
      </c>
      <c r="B48" s="11"/>
      <c r="C48" s="12" t="s">
        <v>165</v>
      </c>
    </row>
    <row r="49" customFormat="false" ht="25.5" hidden="false" customHeight="true" outlineLevel="0" collapsed="false">
      <c r="A49" s="10" t="s">
        <v>166</v>
      </c>
      <c r="B49" s="11"/>
      <c r="C49" s="12" t="s">
        <v>167</v>
      </c>
    </row>
    <row r="50" customFormat="false" ht="25.5" hidden="false" customHeight="true" outlineLevel="0" collapsed="false">
      <c r="A50" s="10" t="s">
        <v>168</v>
      </c>
      <c r="B50" s="11"/>
      <c r="C50" s="12" t="s">
        <v>169</v>
      </c>
    </row>
    <row r="51" customFormat="false" ht="25.5" hidden="false" customHeight="true" outlineLevel="0" collapsed="false">
      <c r="A51" s="10" t="s">
        <v>170</v>
      </c>
      <c r="B51" s="11"/>
      <c r="C51" s="12" t="s">
        <v>171</v>
      </c>
    </row>
    <row r="52" customFormat="false" ht="25.5" hidden="false" customHeight="true" outlineLevel="0" collapsed="false">
      <c r="A52" s="10" t="s">
        <v>172</v>
      </c>
      <c r="B52" s="11"/>
      <c r="C52" s="12" t="s">
        <v>173</v>
      </c>
    </row>
    <row r="53" customFormat="false" ht="25.5" hidden="false" customHeight="true" outlineLevel="0" collapsed="false">
      <c r="A53" s="10" t="s">
        <v>174</v>
      </c>
      <c r="B53" s="11"/>
      <c r="C53" s="12" t="s">
        <v>175</v>
      </c>
    </row>
    <row r="55" customFormat="false" ht="19.5" hidden="false" customHeight="true" outlineLevel="0" collapsed="false">
      <c r="A55" s="3" t="s">
        <v>176</v>
      </c>
      <c r="B55" s="3"/>
      <c r="C55" s="3"/>
    </row>
    <row r="56" customFormat="false" ht="27.75" hidden="false" customHeight="true" outlineLevel="0" collapsed="false">
      <c r="A56" s="4" t="s">
        <v>97</v>
      </c>
      <c r="B56" s="4" t="s">
        <v>98</v>
      </c>
      <c r="C56" s="4" t="s">
        <v>99</v>
      </c>
    </row>
    <row r="57" customFormat="false" ht="25.5" hidden="false" customHeight="true" outlineLevel="0" collapsed="false">
      <c r="A57" s="10" t="s">
        <v>177</v>
      </c>
      <c r="B57" s="11"/>
      <c r="C57" s="12" t="s">
        <v>178</v>
      </c>
    </row>
    <row r="58" customFormat="false" ht="25.5" hidden="false" customHeight="true" outlineLevel="0" collapsed="false">
      <c r="A58" s="10" t="s">
        <v>179</v>
      </c>
      <c r="B58" s="11"/>
      <c r="C58" s="12" t="s">
        <v>180</v>
      </c>
    </row>
    <row r="59" customFormat="false" ht="25.5" hidden="false" customHeight="true" outlineLevel="0" collapsed="false">
      <c r="A59" s="10" t="s">
        <v>181</v>
      </c>
      <c r="B59" s="11"/>
      <c r="C59" s="12" t="s">
        <v>182</v>
      </c>
    </row>
    <row r="60" customFormat="false" ht="25.5" hidden="false" customHeight="true" outlineLevel="0" collapsed="false">
      <c r="A60" s="10" t="s">
        <v>183</v>
      </c>
      <c r="B60" s="11"/>
      <c r="C60" s="12" t="s">
        <v>184</v>
      </c>
    </row>
    <row r="61" customFormat="false" ht="25.5" hidden="false" customHeight="true" outlineLevel="0" collapsed="false">
      <c r="A61" s="10" t="s">
        <v>185</v>
      </c>
      <c r="B61" s="11"/>
      <c r="C61" s="12" t="s">
        <v>186</v>
      </c>
    </row>
    <row r="62" customFormat="false" ht="25.5" hidden="false" customHeight="true" outlineLevel="0" collapsed="false">
      <c r="A62" s="10" t="s">
        <v>37</v>
      </c>
      <c r="B62" s="11"/>
      <c r="C62" s="12" t="s">
        <v>187</v>
      </c>
    </row>
    <row r="64" customFormat="false" ht="19.5" hidden="false" customHeight="true" outlineLevel="0" collapsed="false">
      <c r="A64" s="3" t="s">
        <v>188</v>
      </c>
      <c r="B64" s="3"/>
      <c r="C64" s="3"/>
    </row>
    <row r="65" customFormat="false" ht="27.75" hidden="false" customHeight="true" outlineLevel="0" collapsed="false">
      <c r="A65" s="4" t="s">
        <v>97</v>
      </c>
      <c r="B65" s="4" t="s">
        <v>98</v>
      </c>
      <c r="C65" s="4" t="s">
        <v>99</v>
      </c>
    </row>
    <row r="66" customFormat="false" ht="25.5" hidden="false" customHeight="true" outlineLevel="0" collapsed="false">
      <c r="A66" s="10" t="s">
        <v>189</v>
      </c>
      <c r="B66" s="11"/>
      <c r="C66" s="12" t="s">
        <v>190</v>
      </c>
    </row>
    <row r="67" customFormat="false" ht="25.5" hidden="false" customHeight="true" outlineLevel="0" collapsed="false">
      <c r="A67" s="10" t="s">
        <v>191</v>
      </c>
      <c r="B67" s="15"/>
      <c r="C67" s="12" t="s">
        <v>192</v>
      </c>
    </row>
    <row r="68" customFormat="false" ht="25.5" hidden="false" customHeight="true" outlineLevel="0" collapsed="false">
      <c r="A68" s="10" t="s">
        <v>193</v>
      </c>
      <c r="B68" s="11"/>
      <c r="C68" s="12" t="s">
        <v>194</v>
      </c>
    </row>
    <row r="69" customFormat="false" ht="25.5" hidden="false" customHeight="true" outlineLevel="0" collapsed="false">
      <c r="A69" s="10" t="s">
        <v>195</v>
      </c>
      <c r="B69" s="11"/>
      <c r="C69" s="12" t="s">
        <v>196</v>
      </c>
    </row>
    <row r="70" customFormat="false" ht="25.5" hidden="false" customHeight="true" outlineLevel="0" collapsed="false">
      <c r="A70" s="10" t="s">
        <v>197</v>
      </c>
      <c r="B70" s="11"/>
      <c r="C70" s="12" t="s">
        <v>198</v>
      </c>
    </row>
    <row r="71" customFormat="false" ht="25.5" hidden="false" customHeight="true" outlineLevel="0" collapsed="false">
      <c r="A71" s="10" t="s">
        <v>199</v>
      </c>
      <c r="B71" s="11"/>
      <c r="C71" s="12" t="s">
        <v>200</v>
      </c>
    </row>
    <row r="73" customFormat="false" ht="19.5" hidden="false" customHeight="true" outlineLevel="0" collapsed="false">
      <c r="A73" s="3" t="s">
        <v>201</v>
      </c>
      <c r="B73" s="3"/>
      <c r="C73" s="3"/>
    </row>
    <row r="74" customFormat="false" ht="27.75" hidden="false" customHeight="true" outlineLevel="0" collapsed="false">
      <c r="A74" s="4" t="s">
        <v>97</v>
      </c>
      <c r="B74" s="4" t="s">
        <v>98</v>
      </c>
      <c r="C74" s="4" t="s">
        <v>99</v>
      </c>
    </row>
    <row r="75" customFormat="false" ht="25.5" hidden="false" customHeight="true" outlineLevel="0" collapsed="false">
      <c r="A75" s="10" t="s">
        <v>202</v>
      </c>
      <c r="B75" s="11"/>
      <c r="C75" s="12" t="s">
        <v>203</v>
      </c>
    </row>
    <row r="76" customFormat="false" ht="25.5" hidden="false" customHeight="true" outlineLevel="0" collapsed="false">
      <c r="A76" s="10" t="s">
        <v>204</v>
      </c>
      <c r="B76" s="11"/>
      <c r="C76" s="12" t="s">
        <v>205</v>
      </c>
    </row>
    <row r="77" customFormat="false" ht="25.5" hidden="false" customHeight="true" outlineLevel="0" collapsed="false">
      <c r="A77" s="10" t="s">
        <v>206</v>
      </c>
      <c r="B77" s="11"/>
      <c r="C77" s="12" t="s">
        <v>207</v>
      </c>
    </row>
    <row r="78" customFormat="false" ht="25.5" hidden="false" customHeight="true" outlineLevel="0" collapsed="false">
      <c r="A78" s="10" t="s">
        <v>208</v>
      </c>
      <c r="B78" s="13"/>
      <c r="C78" s="12" t="s">
        <v>209</v>
      </c>
    </row>
    <row r="80" customFormat="false" ht="19.5" hidden="false" customHeight="true" outlineLevel="0" collapsed="false">
      <c r="A80" s="3" t="s">
        <v>210</v>
      </c>
      <c r="B80" s="3"/>
      <c r="C80" s="3"/>
    </row>
    <row r="81" customFormat="false" ht="27.75" hidden="false" customHeight="true" outlineLevel="0" collapsed="false">
      <c r="A81" s="4" t="s">
        <v>211</v>
      </c>
      <c r="B81" s="4" t="s">
        <v>212</v>
      </c>
      <c r="C81" s="4" t="s">
        <v>213</v>
      </c>
    </row>
    <row r="82" customFormat="false" ht="21.75" hidden="false" customHeight="true" outlineLevel="0" collapsed="false">
      <c r="A82" s="10" t="s">
        <v>214</v>
      </c>
      <c r="B82" s="17" t="n">
        <f aca="false">'2. Mercado'!B16</f>
        <v>0</v>
      </c>
      <c r="C82" s="12" t="s">
        <v>215</v>
      </c>
    </row>
    <row r="83" customFormat="false" ht="21.75" hidden="false" customHeight="true" outlineLevel="0" collapsed="false">
      <c r="A83" s="10" t="s">
        <v>216</v>
      </c>
      <c r="B83" s="18" t="n">
        <f aca="false">'5. Custos'!B166</f>
        <v>0</v>
      </c>
      <c r="C83" s="12" t="s">
        <v>217</v>
      </c>
    </row>
    <row r="84" customFormat="false" ht="21.75" hidden="false" customHeight="true" outlineLevel="0" collapsed="false">
      <c r="A84" s="10" t="s">
        <v>218</v>
      </c>
      <c r="B84" s="18" t="n">
        <f aca="false">'5. Custos'!B123</f>
        <v>0</v>
      </c>
      <c r="C84" s="12" t="s">
        <v>219</v>
      </c>
    </row>
    <row r="85" customFormat="false" ht="21.75" hidden="false" customHeight="true" outlineLevel="0" collapsed="false">
      <c r="A85" s="10" t="s">
        <v>220</v>
      </c>
      <c r="B85" s="19" t="n">
        <f aca="false">'5. Custos'!C118</f>
        <v>0</v>
      </c>
      <c r="C85" s="12" t="s">
        <v>221</v>
      </c>
    </row>
    <row r="86" customFormat="false" ht="21.75" hidden="false" customHeight="true" outlineLevel="0" collapsed="false">
      <c r="A86" s="10" t="s">
        <v>222</v>
      </c>
      <c r="B86" s="19" t="n">
        <f aca="false">'5. Custos'!C119</f>
        <v>0</v>
      </c>
      <c r="C86" s="12" t="s">
        <v>221</v>
      </c>
    </row>
    <row r="87" customFormat="false" ht="21.75" hidden="false" customHeight="true" outlineLevel="0" collapsed="false">
      <c r="A87" s="10" t="s">
        <v>223</v>
      </c>
      <c r="B87" s="19" t="n">
        <f aca="false">'5. Custos'!C120</f>
        <v>0</v>
      </c>
      <c r="C87" s="12" t="s">
        <v>221</v>
      </c>
    </row>
    <row r="88" customFormat="false" ht="21.75" hidden="false" customHeight="true" outlineLevel="0" collapsed="false">
      <c r="A88" s="10" t="s">
        <v>224</v>
      </c>
      <c r="B88" s="19" t="n">
        <f aca="false">'5. Custos'!C121</f>
        <v>0</v>
      </c>
      <c r="C88" s="12" t="s">
        <v>221</v>
      </c>
    </row>
    <row r="89" customFormat="false" ht="21.75" hidden="false" customHeight="true" outlineLevel="0" collapsed="false">
      <c r="A89" s="10" t="s">
        <v>225</v>
      </c>
      <c r="B89" s="19" t="n">
        <f aca="false">'5. Custos'!C122</f>
        <v>0</v>
      </c>
      <c r="C89" s="12" t="s">
        <v>221</v>
      </c>
    </row>
    <row r="90" customFormat="false" ht="21.75" hidden="false" customHeight="true" outlineLevel="0" collapsed="false">
      <c r="A90" s="10" t="s">
        <v>226</v>
      </c>
      <c r="B90" s="18" t="n">
        <f aca="false">'5. Custos'!B129</f>
        <v>0</v>
      </c>
      <c r="C90" s="12" t="s">
        <v>227</v>
      </c>
    </row>
    <row r="91" customFormat="false" ht="21.75" hidden="false" customHeight="true" outlineLevel="0" collapsed="false">
      <c r="A91" s="10" t="s">
        <v>228</v>
      </c>
      <c r="B91" s="18" t="n">
        <f aca="false">'5. Custos'!B140</f>
        <v>0</v>
      </c>
      <c r="C91" s="12" t="s">
        <v>227</v>
      </c>
    </row>
    <row r="92" customFormat="false" ht="21.75" hidden="false" customHeight="true" outlineLevel="0" collapsed="false">
      <c r="A92" s="10" t="s">
        <v>229</v>
      </c>
      <c r="B92" s="19" t="n">
        <f aca="false">'5. Custos'!B151</f>
        <v>0</v>
      </c>
      <c r="C92" s="12" t="s">
        <v>230</v>
      </c>
    </row>
    <row r="93" customFormat="false" ht="21.75" hidden="false" customHeight="true" outlineLevel="0" collapsed="false">
      <c r="A93" s="10" t="s">
        <v>231</v>
      </c>
      <c r="B93" s="19" t="n">
        <f aca="false">'5. Custos'!B160</f>
        <v>0</v>
      </c>
      <c r="C93" s="12" t="s">
        <v>217</v>
      </c>
    </row>
    <row r="94" customFormat="false" ht="21.75" hidden="false" customHeight="true" outlineLevel="0" collapsed="false">
      <c r="A94" s="10" t="s">
        <v>232</v>
      </c>
      <c r="B94" s="20" t="str">
        <f aca="false">'5. Custos'!B177</f>
        <v>Preencha as premissas</v>
      </c>
      <c r="C94" s="12" t="s">
        <v>233</v>
      </c>
    </row>
    <row r="95" customFormat="false" ht="21.75" hidden="false" customHeight="true" outlineLevel="0" collapsed="false">
      <c r="A95" s="10" t="s">
        <v>234</v>
      </c>
      <c r="B95" s="21" t="n">
        <f aca="false">'5. Custos'!B184</f>
        <v>0</v>
      </c>
      <c r="C95" s="12" t="s">
        <v>235</v>
      </c>
    </row>
    <row r="96" customFormat="false" ht="21.75" hidden="false" customHeight="true" outlineLevel="0" collapsed="false">
      <c r="A96" s="10" t="s">
        <v>236</v>
      </c>
      <c r="B96" s="17" t="n">
        <f aca="false">'6. Viabilidade'!B33</f>
        <v>5114</v>
      </c>
      <c r="C96" s="12" t="s">
        <v>237</v>
      </c>
    </row>
    <row r="97" customFormat="false" ht="21.75" hidden="false" customHeight="true" outlineLevel="0" collapsed="false">
      <c r="A97" s="10" t="s">
        <v>238</v>
      </c>
      <c r="B97" s="17" t="n">
        <f aca="false">'6. Viabilidade'!B39</f>
        <v>-5114</v>
      </c>
      <c r="C97" s="12" t="s">
        <v>239</v>
      </c>
    </row>
    <row r="98" customFormat="false" ht="21.75" hidden="false" customHeight="true" outlineLevel="0" collapsed="false">
      <c r="A98" s="10" t="s">
        <v>240</v>
      </c>
      <c r="B98" s="19" t="str">
        <f aca="false">'6. Viabilidade'!B40</f>
        <v>n/d</v>
      </c>
      <c r="C98" s="12" t="s">
        <v>239</v>
      </c>
    </row>
    <row r="99" customFormat="false" ht="21.75" hidden="false" customHeight="true" outlineLevel="0" collapsed="false">
      <c r="A99" s="10" t="s">
        <v>241</v>
      </c>
      <c r="B99" s="22" t="str">
        <f aca="false">'6. Viabilidade'!B41</f>
        <v>Acima de 3 anos</v>
      </c>
      <c r="C99" s="12" t="s">
        <v>239</v>
      </c>
    </row>
    <row r="100" customFormat="false" ht="21.75" hidden="false" customHeight="true" outlineLevel="0" collapsed="false">
      <c r="A100" s="10" t="s">
        <v>242</v>
      </c>
      <c r="B100" s="22" t="n">
        <f aca="false">'7. Scorecard'!D17</f>
        <v>0</v>
      </c>
      <c r="C100" s="12" t="s">
        <v>243</v>
      </c>
    </row>
    <row r="101" customFormat="false" ht="21.75" hidden="false" customHeight="true" outlineLevel="0" collapsed="false">
      <c r="A101" s="10" t="s">
        <v>244</v>
      </c>
      <c r="B101" s="20" t="str">
        <f aca="false">'7. Scorecard'!B18</f>
        <v>Incompleto — pontue todos os critérios</v>
      </c>
      <c r="C101" s="12" t="s">
        <v>243</v>
      </c>
    </row>
    <row r="102" customFormat="false" ht="21.75" hidden="false" customHeight="true" outlineLevel="0" collapsed="false">
      <c r="A102" s="10" t="s">
        <v>245</v>
      </c>
      <c r="B102" s="22" t="n">
        <f aca="false">'8. Cronograma'!E27</f>
        <v>18.8333333333333</v>
      </c>
      <c r="C102" s="12" t="s">
        <v>246</v>
      </c>
    </row>
    <row r="103" customFormat="false" ht="21.75" hidden="false" customHeight="true" outlineLevel="0" collapsed="false">
      <c r="A103" s="10" t="s">
        <v>247</v>
      </c>
      <c r="B103" s="23" t="str">
        <f aca="false">'8. Cronograma'!F28</f>
        <v/>
      </c>
      <c r="C103" s="12" t="s">
        <v>246</v>
      </c>
    </row>
    <row r="104" customFormat="false" ht="21.75" hidden="false" customHeight="true" outlineLevel="0" collapsed="false">
      <c r="A104" s="10" t="s">
        <v>248</v>
      </c>
      <c r="B104" s="21" t="n">
        <f aca="false">'9. Riscos'!F19</f>
        <v>0</v>
      </c>
      <c r="C104" s="12" t="s">
        <v>249</v>
      </c>
    </row>
    <row r="105" customFormat="false" ht="21.75" hidden="false" customHeight="true" outlineLevel="0" collapsed="false">
      <c r="A105" s="10" t="s">
        <v>250</v>
      </c>
      <c r="B105" s="19" t="n">
        <f aca="false">'10. Aprovação'!D28</f>
        <v>0</v>
      </c>
      <c r="C105" s="12" t="s">
        <v>251</v>
      </c>
    </row>
    <row r="107" customFormat="false" ht="24" hidden="false" customHeight="true" outlineLevel="0" collapsed="false">
      <c r="A107" s="24" t="s">
        <v>252</v>
      </c>
      <c r="B107" s="24"/>
      <c r="C107" s="24"/>
    </row>
  </sheetData>
  <mergeCells count="12">
    <mergeCell ref="A1:C1"/>
    <mergeCell ref="A2:C2"/>
    <mergeCell ref="A4:C4"/>
    <mergeCell ref="A17:C17"/>
    <mergeCell ref="A25:C25"/>
    <mergeCell ref="A33:C33"/>
    <mergeCell ref="A42:C42"/>
    <mergeCell ref="A55:C55"/>
    <mergeCell ref="A64:C64"/>
    <mergeCell ref="A73:C73"/>
    <mergeCell ref="A80:C80"/>
    <mergeCell ref="A107:C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008C"/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22"/>
  </cols>
  <sheetData>
    <row r="1" customFormat="false" ht="30" hidden="false" customHeight="true" outlineLevel="0" collapsed="false">
      <c r="A1" s="1" t="s">
        <v>253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254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255</v>
      </c>
      <c r="B4" s="3"/>
      <c r="C4" s="3"/>
      <c r="D4" s="3"/>
    </row>
    <row r="5" customFormat="false" ht="27.75" hidden="false" customHeight="true" outlineLevel="0" collapsed="false">
      <c r="A5" s="4" t="s">
        <v>256</v>
      </c>
      <c r="B5" s="4" t="s">
        <v>212</v>
      </c>
      <c r="C5" s="4" t="s">
        <v>257</v>
      </c>
      <c r="D5" s="4" t="s">
        <v>258</v>
      </c>
    </row>
    <row r="6" customFormat="false" ht="24" hidden="false" customHeight="true" outlineLevel="0" collapsed="false">
      <c r="A6" s="10" t="s">
        <v>259</v>
      </c>
      <c r="B6" s="14"/>
      <c r="C6" s="12" t="s">
        <v>260</v>
      </c>
      <c r="D6" s="12" t="s">
        <v>261</v>
      </c>
    </row>
    <row r="7" customFormat="false" ht="24" hidden="false" customHeight="true" outlineLevel="0" collapsed="false">
      <c r="A7" s="10" t="s">
        <v>262</v>
      </c>
      <c r="B7" s="16"/>
      <c r="C7" s="12" t="s">
        <v>263</v>
      </c>
      <c r="D7" s="12" t="s">
        <v>264</v>
      </c>
    </row>
    <row r="8" customFormat="false" ht="24" hidden="false" customHeight="true" outlineLevel="0" collapsed="false">
      <c r="A8" s="10" t="s">
        <v>265</v>
      </c>
      <c r="B8" s="25" t="n">
        <f aca="false">IFERROR(B6*B7,0)</f>
        <v>0</v>
      </c>
      <c r="C8" s="12" t="s">
        <v>260</v>
      </c>
      <c r="D8" s="12" t="s">
        <v>266</v>
      </c>
    </row>
    <row r="9" customFormat="false" ht="24" hidden="false" customHeight="true" outlineLevel="0" collapsed="false">
      <c r="A9" s="10" t="s">
        <v>267</v>
      </c>
      <c r="B9" s="26"/>
      <c r="C9" s="12" t="s">
        <v>268</v>
      </c>
      <c r="D9" s="12" t="s">
        <v>269</v>
      </c>
    </row>
    <row r="10" customFormat="false" ht="24" hidden="false" customHeight="true" outlineLevel="0" collapsed="false">
      <c r="A10" s="10" t="s">
        <v>270</v>
      </c>
      <c r="B10" s="25" t="n">
        <f aca="false">IFERROR(B8*B9,0)</f>
        <v>0</v>
      </c>
      <c r="C10" s="12" t="s">
        <v>268</v>
      </c>
      <c r="D10" s="12" t="s">
        <v>271</v>
      </c>
    </row>
    <row r="11" customFormat="false" ht="24" hidden="false" customHeight="true" outlineLevel="0" collapsed="false">
      <c r="A11" s="10" t="s">
        <v>272</v>
      </c>
      <c r="B11" s="27"/>
      <c r="C11" s="12" t="s">
        <v>273</v>
      </c>
      <c r="D11" s="12" t="s">
        <v>274</v>
      </c>
    </row>
    <row r="12" customFormat="false" ht="24" hidden="false" customHeight="true" outlineLevel="0" collapsed="false">
      <c r="A12" s="10" t="s">
        <v>275</v>
      </c>
      <c r="B12" s="28" t="n">
        <f aca="false">IFERROR(B10*B11,0)</f>
        <v>0</v>
      </c>
      <c r="C12" s="12" t="s">
        <v>276</v>
      </c>
      <c r="D12" s="12" t="s">
        <v>277</v>
      </c>
    </row>
    <row r="13" customFormat="false" ht="24" hidden="false" customHeight="true" outlineLevel="0" collapsed="false">
      <c r="A13" s="10" t="s">
        <v>278</v>
      </c>
      <c r="B13" s="16"/>
      <c r="C13" s="12" t="s">
        <v>279</v>
      </c>
      <c r="D13" s="12" t="s">
        <v>280</v>
      </c>
    </row>
    <row r="14" customFormat="false" ht="24" hidden="false" customHeight="true" outlineLevel="0" collapsed="false">
      <c r="A14" s="10" t="s">
        <v>281</v>
      </c>
      <c r="B14" s="28" t="n">
        <f aca="false">IFERROR(B12*B13,0)</f>
        <v>0</v>
      </c>
      <c r="C14" s="12" t="s">
        <v>276</v>
      </c>
      <c r="D14" s="12" t="s">
        <v>282</v>
      </c>
    </row>
    <row r="15" customFormat="false" ht="24" hidden="false" customHeight="true" outlineLevel="0" collapsed="false">
      <c r="A15" s="10" t="s">
        <v>283</v>
      </c>
      <c r="B15" s="16"/>
      <c r="C15" s="12" t="s">
        <v>284</v>
      </c>
      <c r="D15" s="12" t="s">
        <v>285</v>
      </c>
    </row>
    <row r="16" customFormat="false" ht="24" hidden="false" customHeight="true" outlineLevel="0" collapsed="false">
      <c r="A16" s="10" t="s">
        <v>214</v>
      </c>
      <c r="B16" s="28" t="n">
        <f aca="false">IFERROR(B14*B15,0)</f>
        <v>0</v>
      </c>
      <c r="C16" s="12" t="s">
        <v>276</v>
      </c>
      <c r="D16" s="12" t="s">
        <v>286</v>
      </c>
    </row>
    <row r="17" customFormat="false" ht="24" hidden="false" customHeight="true" outlineLevel="0" collapsed="false">
      <c r="A17" s="10" t="s">
        <v>287</v>
      </c>
      <c r="B17" s="25" t="n">
        <f aca="false">IFERROR(B16/B11,0)</f>
        <v>0</v>
      </c>
      <c r="C17" s="12" t="s">
        <v>268</v>
      </c>
      <c r="D17" s="12" t="s">
        <v>288</v>
      </c>
    </row>
    <row r="19" customFormat="false" ht="19.4" hidden="false" customHeight="false" outlineLevel="0" collapsed="false">
      <c r="A19" s="29" t="s">
        <v>289</v>
      </c>
      <c r="B19" s="21" t="n">
        <f aca="false">'1. Briefing'!B28</f>
        <v>0</v>
      </c>
      <c r="C19" s="12" t="s">
        <v>268</v>
      </c>
      <c r="D19" s="12" t="s">
        <v>290</v>
      </c>
    </row>
    <row r="20" customFormat="false" ht="46.25" hidden="false" customHeight="false" outlineLevel="0" collapsed="false">
      <c r="A20" s="29" t="s">
        <v>291</v>
      </c>
      <c r="B20" s="30" t="str">
        <f aca="false">IF(B17=0,"",IFERROR(B19/B17-1,""))</f>
        <v/>
      </c>
      <c r="C20" s="12" t="s">
        <v>292</v>
      </c>
      <c r="D20" s="12" t="s">
        <v>293</v>
      </c>
    </row>
    <row r="22" customFormat="false" ht="19.5" hidden="false" customHeight="true" outlineLevel="0" collapsed="false">
      <c r="A22" s="3" t="s">
        <v>294</v>
      </c>
      <c r="B22" s="3"/>
      <c r="C22" s="3"/>
      <c r="D22" s="3"/>
      <c r="E22" s="3"/>
      <c r="F22" s="3"/>
      <c r="G22" s="3"/>
      <c r="H22" s="3"/>
      <c r="I22" s="3"/>
    </row>
    <row r="23" customFormat="false" ht="27.75" hidden="false" customHeight="true" outlineLevel="0" collapsed="false">
      <c r="A23" s="4" t="s">
        <v>295</v>
      </c>
      <c r="B23" s="4" t="s">
        <v>296</v>
      </c>
      <c r="C23" s="4" t="s">
        <v>297</v>
      </c>
      <c r="D23" s="4" t="s">
        <v>298</v>
      </c>
      <c r="E23" s="4" t="s">
        <v>299</v>
      </c>
      <c r="F23" s="4" t="s">
        <v>300</v>
      </c>
      <c r="G23" s="4" t="s">
        <v>301</v>
      </c>
      <c r="H23" s="4" t="s">
        <v>302</v>
      </c>
      <c r="I23" s="4" t="s">
        <v>303</v>
      </c>
    </row>
    <row r="24" customFormat="false" ht="21.75" hidden="false" customHeight="true" outlineLevel="0" collapsed="false">
      <c r="A24" s="11" t="s">
        <v>304</v>
      </c>
      <c r="B24" s="11" t="s">
        <v>305</v>
      </c>
      <c r="C24" s="26" t="n">
        <v>200</v>
      </c>
      <c r="D24" s="27" t="n">
        <v>18.9</v>
      </c>
      <c r="E24" s="31" t="n">
        <f aca="false">IF(OR(C24="",D24=""),"",IFERROR(D24/C24*100,""))</f>
        <v>9.45</v>
      </c>
      <c r="F24" s="11" t="s">
        <v>306</v>
      </c>
      <c r="G24" s="11" t="s">
        <v>307</v>
      </c>
      <c r="H24" s="11" t="s">
        <v>308</v>
      </c>
      <c r="I24" s="11" t="s">
        <v>309</v>
      </c>
    </row>
    <row r="25" customFormat="false" ht="21.75" hidden="false" customHeight="true" outlineLevel="0" collapsed="false">
      <c r="A25" s="11"/>
      <c r="B25" s="11"/>
      <c r="C25" s="26"/>
      <c r="D25" s="27"/>
      <c r="E25" s="31" t="str">
        <f aca="false">IF(OR(C25="",D25=""),"",IFERROR(D25/C25*100,""))</f>
        <v/>
      </c>
      <c r="F25" s="11"/>
      <c r="G25" s="11"/>
      <c r="H25" s="11"/>
      <c r="I25" s="11"/>
    </row>
    <row r="26" customFormat="false" ht="21.75" hidden="false" customHeight="true" outlineLevel="0" collapsed="false">
      <c r="A26" s="11"/>
      <c r="B26" s="11"/>
      <c r="C26" s="26"/>
      <c r="D26" s="27"/>
      <c r="E26" s="31" t="str">
        <f aca="false">IF(OR(C26="",D26=""),"",IFERROR(D26/C26*100,""))</f>
        <v/>
      </c>
      <c r="F26" s="11"/>
      <c r="G26" s="11"/>
      <c r="H26" s="11"/>
      <c r="I26" s="11"/>
    </row>
    <row r="27" customFormat="false" ht="21.75" hidden="false" customHeight="true" outlineLevel="0" collapsed="false">
      <c r="A27" s="11"/>
      <c r="B27" s="11"/>
      <c r="C27" s="26"/>
      <c r="D27" s="27"/>
      <c r="E27" s="31" t="str">
        <f aca="false">IF(OR(C27="",D27=""),"",IFERROR(D27/C27*100,""))</f>
        <v/>
      </c>
      <c r="F27" s="11"/>
      <c r="G27" s="11"/>
      <c r="H27" s="11"/>
      <c r="I27" s="11"/>
    </row>
    <row r="28" customFormat="false" ht="21.75" hidden="false" customHeight="true" outlineLevel="0" collapsed="false">
      <c r="A28" s="11"/>
      <c r="B28" s="11"/>
      <c r="C28" s="26"/>
      <c r="D28" s="27"/>
      <c r="E28" s="31" t="str">
        <f aca="false">IF(OR(C28="",D28=""),"",IFERROR(D28/C28*100,""))</f>
        <v/>
      </c>
      <c r="F28" s="11"/>
      <c r="G28" s="11"/>
      <c r="H28" s="11"/>
      <c r="I28" s="11"/>
    </row>
    <row r="29" customFormat="false" ht="21.75" hidden="false" customHeight="true" outlineLevel="0" collapsed="false">
      <c r="A29" s="11"/>
      <c r="B29" s="11"/>
      <c r="C29" s="26"/>
      <c r="D29" s="27"/>
      <c r="E29" s="31" t="str">
        <f aca="false">IF(OR(C29="",D29=""),"",IFERROR(D29/C29*100,""))</f>
        <v/>
      </c>
      <c r="F29" s="11"/>
      <c r="G29" s="11"/>
      <c r="H29" s="11"/>
      <c r="I29" s="11"/>
    </row>
    <row r="30" customFormat="false" ht="21.75" hidden="false" customHeight="true" outlineLevel="0" collapsed="false">
      <c r="A30" s="11"/>
      <c r="B30" s="11"/>
      <c r="C30" s="26"/>
      <c r="D30" s="27"/>
      <c r="E30" s="31" t="str">
        <f aca="false">IF(OR(C30="",D30=""),"",IFERROR(D30/C30*100,""))</f>
        <v/>
      </c>
      <c r="F30" s="11"/>
      <c r="G30" s="11"/>
      <c r="H30" s="11"/>
      <c r="I30" s="11"/>
    </row>
    <row r="31" customFormat="false" ht="21.75" hidden="false" customHeight="true" outlineLevel="0" collapsed="false">
      <c r="A31" s="11"/>
      <c r="B31" s="11"/>
      <c r="C31" s="26"/>
      <c r="D31" s="27"/>
      <c r="E31" s="31" t="str">
        <f aca="false">IF(OR(C31="",D31=""),"",IFERROR(D31/C31*100,""))</f>
        <v/>
      </c>
      <c r="F31" s="11"/>
      <c r="G31" s="11"/>
      <c r="H31" s="11"/>
      <c r="I31" s="11"/>
    </row>
    <row r="32" customFormat="false" ht="21.75" hidden="false" customHeight="true" outlineLevel="0" collapsed="false">
      <c r="A32" s="11"/>
      <c r="B32" s="11"/>
      <c r="C32" s="26"/>
      <c r="D32" s="27"/>
      <c r="E32" s="31" t="str">
        <f aca="false">IF(OR(C32="",D32=""),"",IFERROR(D32/C32*100,""))</f>
        <v/>
      </c>
      <c r="F32" s="11"/>
      <c r="G32" s="11"/>
      <c r="H32" s="11"/>
      <c r="I32" s="11"/>
    </row>
    <row r="33" customFormat="false" ht="21.75" hidden="false" customHeight="true" outlineLevel="0" collapsed="false">
      <c r="A33" s="11"/>
      <c r="B33" s="11"/>
      <c r="C33" s="26"/>
      <c r="D33" s="27"/>
      <c r="E33" s="31" t="str">
        <f aca="false">IF(OR(C33="",D33=""),"",IFERROR(D33/C33*100,""))</f>
        <v/>
      </c>
      <c r="F33" s="11"/>
      <c r="G33" s="11"/>
      <c r="H33" s="11"/>
      <c r="I33" s="11"/>
    </row>
    <row r="34" customFormat="false" ht="21.75" hidden="false" customHeight="true" outlineLevel="0" collapsed="false">
      <c r="A34" s="11"/>
      <c r="B34" s="11"/>
      <c r="C34" s="26"/>
      <c r="D34" s="27"/>
      <c r="E34" s="31" t="str">
        <f aca="false">IF(OR(C34="",D34=""),"",IFERROR(D34/C34*100,""))</f>
        <v/>
      </c>
      <c r="F34" s="11"/>
      <c r="G34" s="11"/>
      <c r="H34" s="11"/>
      <c r="I34" s="11"/>
    </row>
    <row r="35" customFormat="false" ht="21.75" hidden="false" customHeight="true" outlineLevel="0" collapsed="false">
      <c r="A35" s="11"/>
      <c r="B35" s="11"/>
      <c r="C35" s="26"/>
      <c r="D35" s="27"/>
      <c r="E35" s="31" t="str">
        <f aca="false">IF(OR(C35="",D35=""),"",IFERROR(D35/C35*100,""))</f>
        <v/>
      </c>
      <c r="F35" s="11"/>
      <c r="G35" s="11"/>
      <c r="H35" s="11"/>
      <c r="I35" s="11"/>
    </row>
    <row r="36" customFormat="false" ht="19.4" hidden="false" customHeight="false" outlineLevel="0" collapsed="false">
      <c r="A36" s="29" t="s">
        <v>310</v>
      </c>
      <c r="B36" s="32"/>
      <c r="C36" s="33" t="n">
        <f aca="false">IFERROR(AVERAGE(C24:C35),0)</f>
        <v>200</v>
      </c>
      <c r="D36" s="31" t="n">
        <f aca="false">IFERROR(AVERAGE(D24:D35),0)</f>
        <v>18.9</v>
      </c>
      <c r="E36" s="31" t="n">
        <f aca="false">IFERROR(AVERAGE(E24:E35),0)</f>
        <v>9.45</v>
      </c>
      <c r="F36" s="12" t="s">
        <v>311</v>
      </c>
    </row>
    <row r="37" customFormat="false" ht="19.4" hidden="false" customHeight="false" outlineLevel="0" collapsed="false">
      <c r="A37" s="29" t="s">
        <v>312</v>
      </c>
      <c r="B37" s="32"/>
      <c r="C37" s="32"/>
      <c r="D37" s="32"/>
      <c r="E37" s="31" t="n">
        <f aca="false">IFERROR(MIN(E24:E35),0)</f>
        <v>9.45</v>
      </c>
      <c r="F37" s="12" t="s">
        <v>313</v>
      </c>
    </row>
    <row r="38" customFormat="false" ht="19.4" hidden="false" customHeight="false" outlineLevel="0" collapsed="false">
      <c r="A38" s="29" t="s">
        <v>314</v>
      </c>
      <c r="B38" s="32"/>
      <c r="C38" s="32"/>
      <c r="D38" s="32"/>
      <c r="E38" s="31" t="n">
        <f aca="false">IFERROR(MAX(E24:E35),0)</f>
        <v>9.45</v>
      </c>
      <c r="F38" s="12" t="s">
        <v>315</v>
      </c>
    </row>
    <row r="39" customFormat="false" ht="28.35" hidden="false" customHeight="false" outlineLevel="0" collapsed="false">
      <c r="A39" s="29" t="s">
        <v>316</v>
      </c>
      <c r="B39" s="25" t="n">
        <f aca="false">COUNT(D24:D35)</f>
        <v>1</v>
      </c>
      <c r="C39" s="32"/>
      <c r="D39" s="32"/>
      <c r="E39" s="32"/>
      <c r="F39" s="12" t="s">
        <v>317</v>
      </c>
    </row>
    <row r="41" customFormat="false" ht="19.5" hidden="false" customHeight="true" outlineLevel="0" collapsed="false">
      <c r="A41" s="3" t="s">
        <v>318</v>
      </c>
      <c r="B41" s="3"/>
      <c r="C41" s="3"/>
      <c r="D41" s="3"/>
      <c r="E41" s="3"/>
      <c r="F41" s="3"/>
      <c r="G41" s="3"/>
      <c r="H41" s="3"/>
      <c r="I41" s="3"/>
    </row>
    <row r="42" customFormat="false" ht="27.75" hidden="false" customHeight="true" outlineLevel="0" collapsed="false">
      <c r="A42" s="4" t="s">
        <v>319</v>
      </c>
      <c r="B42" s="4" t="s">
        <v>98</v>
      </c>
      <c r="C42" s="4"/>
      <c r="D42" s="4"/>
      <c r="E42" s="4"/>
      <c r="F42" s="4"/>
      <c r="G42" s="4"/>
      <c r="H42" s="4"/>
      <c r="I42" s="4"/>
    </row>
    <row r="43" customFormat="false" ht="30" hidden="false" customHeight="true" outlineLevel="0" collapsed="false">
      <c r="A43" s="10" t="s">
        <v>320</v>
      </c>
      <c r="B43" s="34"/>
      <c r="C43" s="34"/>
      <c r="D43" s="34"/>
      <c r="E43" s="34"/>
      <c r="F43" s="34"/>
      <c r="G43" s="34"/>
      <c r="H43" s="34"/>
      <c r="I43" s="34"/>
    </row>
    <row r="44" customFormat="false" ht="30" hidden="false" customHeight="true" outlineLevel="0" collapsed="false">
      <c r="A44" s="10" t="s">
        <v>321</v>
      </c>
      <c r="B44" s="34"/>
      <c r="C44" s="34"/>
      <c r="D44" s="34"/>
      <c r="E44" s="34"/>
      <c r="F44" s="34"/>
      <c r="G44" s="34"/>
      <c r="H44" s="34"/>
      <c r="I44" s="34"/>
    </row>
    <row r="45" customFormat="false" ht="30" hidden="false" customHeight="true" outlineLevel="0" collapsed="false">
      <c r="A45" s="10" t="s">
        <v>322</v>
      </c>
      <c r="B45" s="34"/>
      <c r="C45" s="34"/>
      <c r="D45" s="34"/>
      <c r="E45" s="34"/>
      <c r="F45" s="34"/>
      <c r="G45" s="34"/>
      <c r="H45" s="34"/>
      <c r="I45" s="34"/>
    </row>
    <row r="46" customFormat="false" ht="30" hidden="false" customHeight="true" outlineLevel="0" collapsed="false">
      <c r="A46" s="10" t="s">
        <v>323</v>
      </c>
      <c r="B46" s="34"/>
      <c r="C46" s="34"/>
      <c r="D46" s="34"/>
      <c r="E46" s="34"/>
      <c r="F46" s="34"/>
      <c r="G46" s="34"/>
      <c r="H46" s="34"/>
      <c r="I46" s="34"/>
    </row>
    <row r="47" customFormat="false" ht="30" hidden="false" customHeight="true" outlineLevel="0" collapsed="false">
      <c r="A47" s="10" t="s">
        <v>324</v>
      </c>
      <c r="B47" s="34"/>
      <c r="C47" s="34"/>
      <c r="D47" s="34"/>
      <c r="E47" s="34"/>
      <c r="F47" s="34"/>
      <c r="G47" s="34"/>
      <c r="H47" s="34"/>
      <c r="I47" s="34"/>
    </row>
  </sheetData>
  <mergeCells count="10">
    <mergeCell ref="A1:I1"/>
    <mergeCell ref="A2:I2"/>
    <mergeCell ref="A4:D4"/>
    <mergeCell ref="A22:I22"/>
    <mergeCell ref="A41:I41"/>
    <mergeCell ref="B43:I43"/>
    <mergeCell ref="B44:I44"/>
    <mergeCell ref="B45:I45"/>
    <mergeCell ref="B46:I46"/>
    <mergeCell ref="B47:I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008C"/>
    <pageSetUpPr fitToPage="false"/>
  </sheetPr>
  <dimension ref="A1:G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5" min="3" style="0" width="18"/>
    <col collapsed="false" customWidth="true" hidden="false" outlineLevel="0" max="6" min="6" style="0" width="26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" t="s">
        <v>325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326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327</v>
      </c>
      <c r="B4" s="3"/>
      <c r="C4" s="3"/>
      <c r="D4" s="3"/>
    </row>
    <row r="5" customFormat="false" ht="27.75" hidden="false" customHeight="true" outlineLevel="0" collapsed="false">
      <c r="A5" s="4" t="s">
        <v>328</v>
      </c>
      <c r="B5" s="4" t="s">
        <v>329</v>
      </c>
      <c r="C5" s="4" t="s">
        <v>330</v>
      </c>
      <c r="D5" s="4" t="s">
        <v>331</v>
      </c>
    </row>
    <row r="6" customFormat="false" ht="24" hidden="false" customHeight="true" outlineLevel="0" collapsed="false">
      <c r="A6" s="10" t="s">
        <v>332</v>
      </c>
      <c r="B6" s="11"/>
      <c r="C6" s="11"/>
      <c r="D6" s="12" t="s">
        <v>333</v>
      </c>
    </row>
    <row r="7" customFormat="false" ht="24" hidden="false" customHeight="true" outlineLevel="0" collapsed="false">
      <c r="A7" s="10" t="s">
        <v>334</v>
      </c>
      <c r="B7" s="11"/>
      <c r="C7" s="11"/>
      <c r="D7" s="12" t="s">
        <v>335</v>
      </c>
    </row>
    <row r="8" customFormat="false" ht="24" hidden="false" customHeight="true" outlineLevel="0" collapsed="false">
      <c r="A8" s="10" t="s">
        <v>336</v>
      </c>
      <c r="B8" s="11"/>
      <c r="C8" s="11"/>
      <c r="D8" s="12" t="s">
        <v>337</v>
      </c>
    </row>
    <row r="9" customFormat="false" ht="24" hidden="false" customHeight="true" outlineLevel="0" collapsed="false">
      <c r="A9" s="10" t="s">
        <v>338</v>
      </c>
      <c r="B9" s="11"/>
      <c r="C9" s="11"/>
      <c r="D9" s="12" t="s">
        <v>339</v>
      </c>
    </row>
    <row r="10" customFormat="false" ht="24" hidden="false" customHeight="true" outlineLevel="0" collapsed="false">
      <c r="A10" s="10" t="s">
        <v>340</v>
      </c>
      <c r="B10" s="11"/>
      <c r="C10" s="11"/>
      <c r="D10" s="12" t="s">
        <v>341</v>
      </c>
    </row>
    <row r="11" customFormat="false" ht="24" hidden="false" customHeight="true" outlineLevel="0" collapsed="false">
      <c r="A11" s="10" t="s">
        <v>342</v>
      </c>
      <c r="B11" s="11"/>
      <c r="C11" s="11"/>
      <c r="D11" s="12" t="s">
        <v>343</v>
      </c>
    </row>
    <row r="12" customFormat="false" ht="24" hidden="false" customHeight="true" outlineLevel="0" collapsed="false">
      <c r="A12" s="10" t="s">
        <v>344</v>
      </c>
      <c r="B12" s="11"/>
      <c r="C12" s="11"/>
      <c r="D12" s="12" t="s">
        <v>345</v>
      </c>
    </row>
    <row r="13" customFormat="false" ht="24" hidden="false" customHeight="true" outlineLevel="0" collapsed="false">
      <c r="A13" s="10" t="s">
        <v>346</v>
      </c>
      <c r="B13" s="11"/>
      <c r="C13" s="11"/>
      <c r="D13" s="12" t="s">
        <v>347</v>
      </c>
    </row>
    <row r="14" customFormat="false" ht="24" hidden="false" customHeight="true" outlineLevel="0" collapsed="false">
      <c r="A14" s="10" t="s">
        <v>348</v>
      </c>
      <c r="B14" s="11"/>
      <c r="C14" s="11"/>
      <c r="D14" s="12" t="s">
        <v>349</v>
      </c>
    </row>
    <row r="15" customFormat="false" ht="24" hidden="false" customHeight="true" outlineLevel="0" collapsed="false">
      <c r="A15" s="10" t="s">
        <v>350</v>
      </c>
      <c r="B15" s="11"/>
      <c r="C15" s="11"/>
      <c r="D15" s="12" t="s">
        <v>351</v>
      </c>
    </row>
    <row r="16" customFormat="false" ht="24" hidden="false" customHeight="true" outlineLevel="0" collapsed="false">
      <c r="A16" s="10" t="s">
        <v>352</v>
      </c>
      <c r="B16" s="11"/>
      <c r="C16" s="11"/>
      <c r="D16" s="12" t="s">
        <v>353</v>
      </c>
    </row>
    <row r="18" customFormat="false" ht="19.5" hidden="false" customHeight="true" outlineLevel="0" collapsed="false">
      <c r="A18" s="3" t="s">
        <v>354</v>
      </c>
      <c r="B18" s="3"/>
      <c r="C18" s="3"/>
      <c r="D18" s="3"/>
      <c r="E18" s="3"/>
      <c r="F18" s="3"/>
      <c r="G18" s="3"/>
    </row>
    <row r="19" customFormat="false" ht="27.75" hidden="false" customHeight="true" outlineLevel="0" collapsed="false">
      <c r="A19" s="4" t="s">
        <v>42</v>
      </c>
      <c r="B19" s="4" t="s">
        <v>355</v>
      </c>
      <c r="C19" s="4" t="s">
        <v>356</v>
      </c>
      <c r="D19" s="4" t="s">
        <v>357</v>
      </c>
      <c r="E19" s="4" t="s">
        <v>358</v>
      </c>
      <c r="F19" s="4" t="s">
        <v>359</v>
      </c>
      <c r="G19" s="4" t="s">
        <v>360</v>
      </c>
    </row>
    <row r="20" customFormat="false" ht="24" hidden="false" customHeight="true" outlineLevel="0" collapsed="false">
      <c r="A20" s="10" t="s">
        <v>361</v>
      </c>
      <c r="B20" s="11"/>
      <c r="C20" s="11"/>
      <c r="D20" s="13"/>
      <c r="E20" s="12" t="s">
        <v>362</v>
      </c>
      <c r="F20" s="27"/>
      <c r="G20" s="11"/>
    </row>
    <row r="21" customFormat="false" ht="24" hidden="false" customHeight="true" outlineLevel="0" collapsed="false">
      <c r="A21" s="10" t="s">
        <v>363</v>
      </c>
      <c r="B21" s="11"/>
      <c r="C21" s="11"/>
      <c r="D21" s="13"/>
      <c r="E21" s="12" t="s">
        <v>362</v>
      </c>
      <c r="F21" s="27"/>
      <c r="G21" s="11"/>
    </row>
    <row r="22" customFormat="false" ht="24" hidden="false" customHeight="true" outlineLevel="0" collapsed="false">
      <c r="A22" s="10" t="s">
        <v>364</v>
      </c>
      <c r="B22" s="11"/>
      <c r="C22" s="11"/>
      <c r="D22" s="13"/>
      <c r="E22" s="12" t="s">
        <v>365</v>
      </c>
      <c r="F22" s="27"/>
      <c r="G22" s="11"/>
    </row>
    <row r="23" customFormat="false" ht="24" hidden="false" customHeight="true" outlineLevel="0" collapsed="false">
      <c r="A23" s="10" t="s">
        <v>366</v>
      </c>
      <c r="B23" s="11"/>
      <c r="C23" s="11"/>
      <c r="D23" s="13"/>
      <c r="E23" s="12" t="s">
        <v>367</v>
      </c>
      <c r="F23" s="27"/>
      <c r="G23" s="11"/>
    </row>
    <row r="24" customFormat="false" ht="24" hidden="false" customHeight="true" outlineLevel="0" collapsed="false">
      <c r="A24" s="10" t="s">
        <v>368</v>
      </c>
      <c r="B24" s="11"/>
      <c r="C24" s="11"/>
      <c r="D24" s="13"/>
      <c r="E24" s="12" t="s">
        <v>369</v>
      </c>
      <c r="F24" s="27"/>
      <c r="G24" s="11"/>
    </row>
    <row r="25" customFormat="false" ht="24" hidden="false" customHeight="true" outlineLevel="0" collapsed="false">
      <c r="A25" s="10" t="s">
        <v>370</v>
      </c>
      <c r="B25" s="11"/>
      <c r="C25" s="11"/>
      <c r="D25" s="13"/>
      <c r="E25" s="12" t="s">
        <v>371</v>
      </c>
      <c r="F25" s="27"/>
      <c r="G25" s="11"/>
    </row>
    <row r="26" customFormat="false" ht="24" hidden="false" customHeight="true" outlineLevel="0" collapsed="false">
      <c r="A26" s="10" t="s">
        <v>372</v>
      </c>
      <c r="B26" s="11"/>
      <c r="C26" s="11"/>
      <c r="D26" s="13"/>
      <c r="E26" s="12" t="s">
        <v>373</v>
      </c>
      <c r="F26" s="27"/>
      <c r="G26" s="11"/>
    </row>
    <row r="27" customFormat="false" ht="24" hidden="false" customHeight="true" outlineLevel="0" collapsed="false">
      <c r="A27" s="10" t="s">
        <v>374</v>
      </c>
      <c r="B27" s="11"/>
      <c r="C27" s="11"/>
      <c r="D27" s="13"/>
      <c r="E27" s="12" t="s">
        <v>375</v>
      </c>
      <c r="F27" s="27"/>
      <c r="G27" s="11"/>
    </row>
    <row r="28" customFormat="false" ht="24" hidden="false" customHeight="true" outlineLevel="0" collapsed="false">
      <c r="A28" s="10" t="s">
        <v>376</v>
      </c>
      <c r="B28" s="11"/>
      <c r="C28" s="11"/>
      <c r="D28" s="13"/>
      <c r="E28" s="12" t="s">
        <v>377</v>
      </c>
      <c r="F28" s="27"/>
      <c r="G28" s="11"/>
    </row>
    <row r="29" customFormat="false" ht="24" hidden="false" customHeight="true" outlineLevel="0" collapsed="false">
      <c r="A29" s="10" t="s">
        <v>378</v>
      </c>
      <c r="B29" s="11"/>
      <c r="C29" s="11"/>
      <c r="D29" s="13"/>
      <c r="E29" s="12" t="s">
        <v>379</v>
      </c>
      <c r="F29" s="27"/>
      <c r="G29" s="11"/>
    </row>
    <row r="30" customFormat="false" ht="24" hidden="false" customHeight="true" outlineLevel="0" collapsed="false">
      <c r="A30" s="10" t="s">
        <v>380</v>
      </c>
      <c r="B30" s="11"/>
      <c r="C30" s="11"/>
      <c r="D30" s="13"/>
      <c r="E30" s="12" t="s">
        <v>381</v>
      </c>
      <c r="F30" s="27"/>
      <c r="G30" s="11"/>
    </row>
    <row r="31" customFormat="false" ht="24" hidden="false" customHeight="true" outlineLevel="0" collapsed="false">
      <c r="A31" s="10" t="s">
        <v>382</v>
      </c>
      <c r="B31" s="11"/>
      <c r="C31" s="11"/>
      <c r="D31" s="13"/>
      <c r="E31" s="12" t="s">
        <v>383</v>
      </c>
      <c r="F31" s="27"/>
      <c r="G31" s="11"/>
    </row>
    <row r="32" customFormat="false" ht="24" hidden="false" customHeight="true" outlineLevel="0" collapsed="false">
      <c r="A32" s="10" t="s">
        <v>384</v>
      </c>
      <c r="B32" s="11"/>
      <c r="C32" s="11"/>
      <c r="D32" s="13"/>
      <c r="E32" s="12" t="s">
        <v>385</v>
      </c>
      <c r="F32" s="27"/>
      <c r="G32" s="11"/>
    </row>
    <row r="33" customFormat="false" ht="24" hidden="false" customHeight="true" outlineLevel="0" collapsed="false">
      <c r="A33" s="10" t="s">
        <v>386</v>
      </c>
      <c r="B33" s="11"/>
      <c r="C33" s="11"/>
      <c r="D33" s="13"/>
      <c r="E33" s="12" t="s">
        <v>387</v>
      </c>
      <c r="F33" s="27"/>
      <c r="G33" s="11"/>
    </row>
    <row r="34" customFormat="false" ht="24" hidden="false" customHeight="true" outlineLevel="0" collapsed="false">
      <c r="A34" s="10" t="s">
        <v>388</v>
      </c>
      <c r="B34" s="11"/>
      <c r="C34" s="11"/>
      <c r="D34" s="13"/>
      <c r="E34" s="12" t="s">
        <v>389</v>
      </c>
      <c r="F34" s="27"/>
      <c r="G34" s="11"/>
    </row>
    <row r="35" customFormat="false" ht="28.35" hidden="false" customHeight="false" outlineLevel="0" collapsed="false">
      <c r="A35" s="29" t="s">
        <v>390</v>
      </c>
      <c r="B35" s="32"/>
      <c r="C35" s="32"/>
      <c r="D35" s="32"/>
      <c r="E35" s="12" t="s">
        <v>391</v>
      </c>
      <c r="F35" s="28" t="n">
        <f aca="false">SUM(F20:F34)</f>
        <v>0</v>
      </c>
      <c r="G35" s="32"/>
    </row>
    <row r="36" customFormat="false" ht="19.4" hidden="false" customHeight="false" outlineLevel="0" collapsed="false">
      <c r="A36" s="29" t="s">
        <v>392</v>
      </c>
      <c r="B36" s="30" t="n">
        <f aca="false">IFERROR(COUNTIF(G20:G34,"Sim")/(COUNTA(G20:G34)-COUNTIF(G20:G34,"N/A")),0)</f>
        <v>0</v>
      </c>
      <c r="C36" s="32"/>
      <c r="D36" s="32"/>
      <c r="E36" s="12" t="s">
        <v>393</v>
      </c>
      <c r="F36" s="32"/>
      <c r="G36" s="32"/>
    </row>
    <row r="38" customFormat="false" ht="19.5" hidden="false" customHeight="true" outlineLevel="0" collapsed="false">
      <c r="A38" s="3" t="s">
        <v>394</v>
      </c>
      <c r="B38" s="3"/>
      <c r="C38" s="3"/>
      <c r="D38" s="3"/>
      <c r="E38" s="3"/>
      <c r="F38" s="3"/>
      <c r="G38" s="3"/>
    </row>
    <row r="39" customFormat="false" ht="27.75" hidden="false" customHeight="true" outlineLevel="0" collapsed="false">
      <c r="A39" s="4" t="s">
        <v>328</v>
      </c>
      <c r="B39" s="4" t="s">
        <v>212</v>
      </c>
      <c r="C39" s="4"/>
      <c r="D39" s="4"/>
      <c r="E39" s="4"/>
      <c r="F39" s="4" t="s">
        <v>395</v>
      </c>
      <c r="G39" s="4"/>
    </row>
    <row r="40" customFormat="false" ht="15" hidden="false" customHeight="true" outlineLevel="0" collapsed="false">
      <c r="A40" s="10" t="s">
        <v>396</v>
      </c>
      <c r="B40" s="14" t="n">
        <v>1</v>
      </c>
      <c r="C40" s="32"/>
      <c r="D40" s="32"/>
      <c r="E40" s="32"/>
      <c r="F40" s="35" t="s">
        <v>397</v>
      </c>
      <c r="G40" s="35"/>
    </row>
    <row r="42" customFormat="false" ht="27.75" hidden="false" customHeight="true" outlineLevel="0" collapsed="false">
      <c r="A42" s="4" t="s">
        <v>398</v>
      </c>
      <c r="B42" s="4" t="s">
        <v>399</v>
      </c>
      <c r="C42" s="4" t="s">
        <v>400</v>
      </c>
      <c r="D42" s="4" t="s">
        <v>401</v>
      </c>
      <c r="E42" s="4" t="s">
        <v>402</v>
      </c>
      <c r="F42" s="4" t="s">
        <v>403</v>
      </c>
      <c r="G42" s="4" t="s">
        <v>404</v>
      </c>
    </row>
    <row r="43" customFormat="false" ht="30" hidden="false" customHeight="true" outlineLevel="0" collapsed="false">
      <c r="A43" s="10" t="s">
        <v>405</v>
      </c>
      <c r="B43" s="25" t="n">
        <f aca="false">$B$40</f>
        <v>1</v>
      </c>
      <c r="C43" s="27" t="n">
        <v>1264</v>
      </c>
      <c r="D43" s="31" t="n">
        <f aca="false">IFERROR(B43*C43,0)</f>
        <v>1264</v>
      </c>
      <c r="E43" s="14" t="n">
        <v>30</v>
      </c>
      <c r="F43" s="12" t="s">
        <v>406</v>
      </c>
      <c r="G43" s="12" t="s">
        <v>407</v>
      </c>
    </row>
    <row r="44" customFormat="false" ht="30" hidden="false" customHeight="true" outlineLevel="0" collapsed="false">
      <c r="A44" s="10" t="s">
        <v>408</v>
      </c>
      <c r="B44" s="25" t="n">
        <f aca="false">$B$40</f>
        <v>1</v>
      </c>
      <c r="C44" s="27" t="n">
        <v>600</v>
      </c>
      <c r="D44" s="31" t="n">
        <f aca="false">IFERROR(B44*C44,0)</f>
        <v>600</v>
      </c>
      <c r="E44" s="14"/>
      <c r="F44" s="12" t="s">
        <v>409</v>
      </c>
      <c r="G44" s="12" t="s">
        <v>410</v>
      </c>
    </row>
    <row r="45" customFormat="false" ht="30" hidden="false" customHeight="true" outlineLevel="0" collapsed="false">
      <c r="A45" s="10" t="s">
        <v>411</v>
      </c>
      <c r="B45" s="25" t="n">
        <f aca="false">$B$40</f>
        <v>1</v>
      </c>
      <c r="C45" s="27" t="n">
        <v>1900</v>
      </c>
      <c r="D45" s="31" t="n">
        <f aca="false">IFERROR(B45*C45,0)</f>
        <v>1900</v>
      </c>
      <c r="E45" s="14"/>
      <c r="F45" s="12" t="s">
        <v>412</v>
      </c>
      <c r="G45" s="12" t="s">
        <v>410</v>
      </c>
    </row>
    <row r="46" customFormat="false" ht="30" hidden="false" customHeight="true" outlineLevel="0" collapsed="false">
      <c r="A46" s="10" t="s">
        <v>413</v>
      </c>
      <c r="B46" s="25" t="n">
        <f aca="false">$B$40</f>
        <v>1</v>
      </c>
      <c r="C46" s="27" t="n">
        <v>1350</v>
      </c>
      <c r="D46" s="31" t="n">
        <f aca="false">IFERROR(B46*C46,0)</f>
        <v>1350</v>
      </c>
      <c r="E46" s="14"/>
      <c r="F46" s="12" t="s">
        <v>414</v>
      </c>
      <c r="G46" s="12" t="s">
        <v>410</v>
      </c>
    </row>
    <row r="47" customFormat="false" ht="19.4" hidden="false" customHeight="false" outlineLevel="0" collapsed="false">
      <c r="A47" s="29" t="s">
        <v>415</v>
      </c>
      <c r="B47" s="25" t="n">
        <f aca="false">$B$40</f>
        <v>1</v>
      </c>
      <c r="C47" s="32"/>
      <c r="D47" s="28" t="n">
        <f aca="false">SUM(D43:D46)</f>
        <v>5114</v>
      </c>
      <c r="E47" s="25" t="n">
        <f aca="false">SUM(E43:E46)</f>
        <v>30</v>
      </c>
      <c r="F47" s="12" t="s">
        <v>416</v>
      </c>
      <c r="G47" s="12" t="s">
        <v>417</v>
      </c>
    </row>
    <row r="48" customFormat="false" ht="19.4" hidden="false" customHeight="false" outlineLevel="0" collapsed="false">
      <c r="A48" s="29" t="s">
        <v>418</v>
      </c>
      <c r="B48" s="32"/>
      <c r="C48" s="31" t="n">
        <f aca="false">SUM(C43:C46)</f>
        <v>5114</v>
      </c>
      <c r="D48" s="32"/>
      <c r="E48" s="25" t="n">
        <f aca="false">IFERROR(MAX(E43:E46),0)</f>
        <v>30</v>
      </c>
      <c r="F48" s="12" t="s">
        <v>419</v>
      </c>
      <c r="G48" s="12" t="s">
        <v>420</v>
      </c>
    </row>
    <row r="49" customFormat="false" ht="21.75" hidden="false" customHeight="true" outlineLevel="0" collapsed="false">
      <c r="A49" s="29" t="s">
        <v>421</v>
      </c>
      <c r="B49" s="36" t="str">
        <f aca="false">IF(COUNTBLANK(E43:E46)=0,"Todos os prazos informados","Faltam "&amp;COUNTBLANK(E43:E46)&amp;" prazo(s) de teste básico — confirmar com o laboratório antes de fechar o cronograma da aba 8")</f>
        <v>Faltam 3 prazo(s) de teste básico — confirmar com o laboratório antes de fechar o cronograma da aba 8</v>
      </c>
      <c r="C49" s="36"/>
      <c r="D49" s="36"/>
      <c r="E49" s="36"/>
      <c r="F49" s="36"/>
      <c r="G49" s="36"/>
    </row>
    <row r="50" customFormat="false" ht="15" hidden="false" customHeight="true" outlineLevel="0" collapsed="false">
      <c r="A50" s="37" t="s">
        <v>422</v>
      </c>
      <c r="B50" s="37"/>
      <c r="C50" s="37"/>
      <c r="D50" s="37"/>
      <c r="E50" s="37"/>
      <c r="F50" s="37"/>
      <c r="G50" s="37"/>
    </row>
    <row r="51" customFormat="false" ht="15" hidden="false" customHeight="false" outlineLevel="0" collapsed="false">
      <c r="A51" s="37"/>
      <c r="B51" s="37"/>
      <c r="C51" s="37"/>
      <c r="D51" s="37"/>
      <c r="E51" s="37"/>
      <c r="F51" s="37"/>
      <c r="G51" s="37"/>
    </row>
    <row r="53" customFormat="false" ht="19.5" hidden="false" customHeight="true" outlineLevel="0" collapsed="false">
      <c r="A53" s="3" t="s">
        <v>423</v>
      </c>
      <c r="B53" s="3"/>
      <c r="C53" s="3"/>
      <c r="D53" s="3"/>
      <c r="E53" s="3"/>
      <c r="F53" s="3"/>
      <c r="G53" s="3"/>
    </row>
    <row r="54" customFormat="false" ht="27.75" hidden="false" customHeight="true" outlineLevel="0" collapsed="false">
      <c r="A54" s="4" t="s">
        <v>424</v>
      </c>
      <c r="B54" s="4" t="s">
        <v>425</v>
      </c>
      <c r="C54" s="4" t="s">
        <v>426</v>
      </c>
      <c r="D54" s="4" t="s">
        <v>401</v>
      </c>
      <c r="E54" s="4" t="s">
        <v>402</v>
      </c>
      <c r="F54" s="4" t="s">
        <v>403</v>
      </c>
      <c r="G54" s="4" t="s">
        <v>427</v>
      </c>
    </row>
    <row r="55" customFormat="false" ht="24" hidden="false" customHeight="true" outlineLevel="0" collapsed="false">
      <c r="A55" s="10" t="s">
        <v>428</v>
      </c>
      <c r="B55" s="12" t="s">
        <v>429</v>
      </c>
      <c r="C55" s="27"/>
      <c r="D55" s="31" t="str">
        <f aca="false">IF(C55="","",C55*$B$40)</f>
        <v/>
      </c>
      <c r="E55" s="14"/>
      <c r="F55" s="12" t="s">
        <v>430</v>
      </c>
      <c r="G55" s="11"/>
    </row>
    <row r="56" customFormat="false" ht="24" hidden="false" customHeight="true" outlineLevel="0" collapsed="false">
      <c r="A56" s="10" t="s">
        <v>431</v>
      </c>
      <c r="B56" s="12" t="s">
        <v>429</v>
      </c>
      <c r="C56" s="27"/>
      <c r="D56" s="31" t="str">
        <f aca="false">IF(C56="","",C56*$B$40)</f>
        <v/>
      </c>
      <c r="E56" s="14"/>
      <c r="F56" s="12" t="s">
        <v>432</v>
      </c>
      <c r="G56" s="11"/>
    </row>
    <row r="57" customFormat="false" ht="24" hidden="false" customHeight="true" outlineLevel="0" collapsed="false">
      <c r="A57" s="10" t="s">
        <v>433</v>
      </c>
      <c r="B57" s="12" t="s">
        <v>429</v>
      </c>
      <c r="C57" s="27"/>
      <c r="D57" s="31" t="str">
        <f aca="false">IF(C57="","",C57*$B$40)</f>
        <v/>
      </c>
      <c r="E57" s="14"/>
      <c r="F57" s="12" t="s">
        <v>434</v>
      </c>
      <c r="G57" s="11"/>
    </row>
    <row r="58" customFormat="false" ht="24" hidden="false" customHeight="true" outlineLevel="0" collapsed="false">
      <c r="A58" s="10" t="s">
        <v>378</v>
      </c>
      <c r="B58" s="12" t="s">
        <v>429</v>
      </c>
      <c r="C58" s="27"/>
      <c r="D58" s="31" t="str">
        <f aca="false">IF(C58="","",C58*$B$40)</f>
        <v/>
      </c>
      <c r="E58" s="14"/>
      <c r="F58" s="12" t="s">
        <v>435</v>
      </c>
      <c r="G58" s="11"/>
    </row>
    <row r="59" customFormat="false" ht="24" hidden="false" customHeight="true" outlineLevel="0" collapsed="false">
      <c r="A59" s="10" t="s">
        <v>436</v>
      </c>
      <c r="B59" s="12" t="s">
        <v>437</v>
      </c>
      <c r="C59" s="27"/>
      <c r="D59" s="31" t="str">
        <f aca="false">IF(C59="","",C59*$B$40)</f>
        <v/>
      </c>
      <c r="E59" s="14"/>
      <c r="F59" s="12" t="s">
        <v>438</v>
      </c>
      <c r="G59" s="11"/>
    </row>
    <row r="60" customFormat="false" ht="24" hidden="false" customHeight="true" outlineLevel="0" collapsed="false">
      <c r="A60" s="10" t="s">
        <v>439</v>
      </c>
      <c r="B60" s="12" t="s">
        <v>440</v>
      </c>
      <c r="C60" s="27"/>
      <c r="D60" s="31" t="str">
        <f aca="false">IF(C60="","",C60*$B$40)</f>
        <v/>
      </c>
      <c r="E60" s="14"/>
      <c r="F60" s="12" t="s">
        <v>441</v>
      </c>
      <c r="G60" s="11"/>
    </row>
    <row r="61" customFormat="false" ht="24" hidden="false" customHeight="true" outlineLevel="0" collapsed="false">
      <c r="A61" s="10" t="s">
        <v>442</v>
      </c>
      <c r="B61" s="12" t="s">
        <v>443</v>
      </c>
      <c r="C61" s="27"/>
      <c r="D61" s="31" t="str">
        <f aca="false">IF(C61="","",C61*$B$40)</f>
        <v/>
      </c>
      <c r="E61" s="14"/>
      <c r="F61" s="12" t="s">
        <v>444</v>
      </c>
      <c r="G61" s="11"/>
    </row>
    <row r="62" customFormat="false" ht="24" hidden="false" customHeight="true" outlineLevel="0" collapsed="false">
      <c r="A62" s="10" t="s">
        <v>445</v>
      </c>
      <c r="B62" s="12" t="s">
        <v>446</v>
      </c>
      <c r="C62" s="27"/>
      <c r="D62" s="31" t="str">
        <f aca="false">IF(C62="","",C62*$B$40)</f>
        <v/>
      </c>
      <c r="E62" s="14"/>
      <c r="F62" s="12" t="s">
        <v>447</v>
      </c>
      <c r="G62" s="11"/>
    </row>
    <row r="63" customFormat="false" ht="24" hidden="false" customHeight="true" outlineLevel="0" collapsed="false">
      <c r="A63" s="10" t="s">
        <v>448</v>
      </c>
      <c r="B63" s="12" t="s">
        <v>449</v>
      </c>
      <c r="C63" s="27"/>
      <c r="D63" s="31" t="str">
        <f aca="false">IF(C63="","",C63*$B$40)</f>
        <v/>
      </c>
      <c r="E63" s="14"/>
      <c r="F63" s="12" t="s">
        <v>450</v>
      </c>
      <c r="G63" s="11"/>
    </row>
    <row r="64" customFormat="false" ht="24" hidden="false" customHeight="true" outlineLevel="0" collapsed="false">
      <c r="A64" s="10" t="s">
        <v>451</v>
      </c>
      <c r="B64" s="12" t="s">
        <v>452</v>
      </c>
      <c r="C64" s="27"/>
      <c r="D64" s="31" t="str">
        <f aca="false">IF(C64="","",C64*$B$40)</f>
        <v/>
      </c>
      <c r="E64" s="14"/>
      <c r="F64" s="12" t="s">
        <v>453</v>
      </c>
      <c r="G64" s="11"/>
    </row>
    <row r="65" customFormat="false" ht="24" hidden="false" customHeight="true" outlineLevel="0" collapsed="false">
      <c r="A65" s="10" t="s">
        <v>454</v>
      </c>
      <c r="B65" s="12" t="s">
        <v>429</v>
      </c>
      <c r="C65" s="27"/>
      <c r="D65" s="31" t="str">
        <f aca="false">IF(C65="","",C65*$B$40)</f>
        <v/>
      </c>
      <c r="E65" s="14"/>
      <c r="F65" s="12" t="s">
        <v>455</v>
      </c>
      <c r="G65" s="11"/>
    </row>
    <row r="66" customFormat="false" ht="24" hidden="false" customHeight="true" outlineLevel="0" collapsed="false">
      <c r="A66" s="10" t="s">
        <v>456</v>
      </c>
      <c r="B66" s="12" t="s">
        <v>429</v>
      </c>
      <c r="C66" s="27"/>
      <c r="D66" s="31" t="str">
        <f aca="false">IF(C66="","",C66*$B$40)</f>
        <v/>
      </c>
      <c r="E66" s="14"/>
      <c r="F66" s="12" t="s">
        <v>457</v>
      </c>
      <c r="G66" s="11"/>
    </row>
    <row r="67" customFormat="false" ht="24" hidden="false" customHeight="true" outlineLevel="0" collapsed="false">
      <c r="A67" s="10" t="s">
        <v>458</v>
      </c>
      <c r="B67" s="12" t="s">
        <v>429</v>
      </c>
      <c r="C67" s="27"/>
      <c r="D67" s="31" t="str">
        <f aca="false">IF(C67="","",C67*$B$40)</f>
        <v/>
      </c>
      <c r="E67" s="14"/>
      <c r="F67" s="12" t="s">
        <v>459</v>
      </c>
      <c r="G67" s="11"/>
    </row>
    <row r="68" customFormat="false" ht="24" hidden="false" customHeight="true" outlineLevel="0" collapsed="false">
      <c r="A68" s="10" t="s">
        <v>460</v>
      </c>
      <c r="B68" s="12" t="s">
        <v>429</v>
      </c>
      <c r="C68" s="27"/>
      <c r="D68" s="31" t="str">
        <f aca="false">IF(C68="","",C68*$B$40)</f>
        <v/>
      </c>
      <c r="E68" s="14"/>
      <c r="F68" s="12" t="s">
        <v>461</v>
      </c>
      <c r="G68" s="11"/>
    </row>
    <row r="69" customFormat="false" ht="24" hidden="false" customHeight="true" outlineLevel="0" collapsed="false">
      <c r="A69" s="11"/>
      <c r="B69" s="11"/>
      <c r="C69" s="27"/>
      <c r="D69" s="31" t="str">
        <f aca="false">IF(C69="","",C69*$B$40)</f>
        <v/>
      </c>
      <c r="E69" s="14"/>
      <c r="F69" s="12"/>
      <c r="G69" s="11"/>
    </row>
    <row r="70" customFormat="false" ht="24" hidden="false" customHeight="true" outlineLevel="0" collapsed="false">
      <c r="A70" s="11"/>
      <c r="B70" s="11"/>
      <c r="C70" s="27"/>
      <c r="D70" s="31" t="str">
        <f aca="false">IF(C70="","",C70*$B$40)</f>
        <v/>
      </c>
      <c r="E70" s="14"/>
      <c r="F70" s="12"/>
      <c r="G70" s="11"/>
    </row>
    <row r="71" customFormat="false" ht="24" hidden="false" customHeight="true" outlineLevel="0" collapsed="false">
      <c r="A71" s="11"/>
      <c r="B71" s="11"/>
      <c r="C71" s="27"/>
      <c r="D71" s="31" t="str">
        <f aca="false">IF(C71="","",C71*$B$40)</f>
        <v/>
      </c>
      <c r="E71" s="14"/>
      <c r="F71" s="12"/>
      <c r="G71" s="11"/>
    </row>
    <row r="72" customFormat="false" ht="19.4" hidden="false" customHeight="false" outlineLevel="0" collapsed="false">
      <c r="A72" s="29" t="s">
        <v>462</v>
      </c>
      <c r="B72" s="32"/>
      <c r="C72" s="31" t="n">
        <f aca="false">SUM(C55:C71)</f>
        <v>0</v>
      </c>
      <c r="D72" s="28" t="n">
        <f aca="false">SUM(D55:D71)</f>
        <v>0</v>
      </c>
      <c r="E72" s="25" t="n">
        <f aca="false">IFERROR(MAX(E55:E71),0)</f>
        <v>0</v>
      </c>
      <c r="F72" s="12" t="s">
        <v>463</v>
      </c>
      <c r="G72" s="32"/>
    </row>
    <row r="74" customFormat="false" ht="19.5" hidden="false" customHeight="true" outlineLevel="0" collapsed="false">
      <c r="A74" s="3" t="s">
        <v>464</v>
      </c>
      <c r="B74" s="3"/>
      <c r="C74" s="3"/>
      <c r="D74" s="3"/>
      <c r="E74" s="3"/>
      <c r="F74" s="3"/>
      <c r="G74" s="3"/>
    </row>
    <row r="75" customFormat="false" ht="27.75" hidden="false" customHeight="true" outlineLevel="0" collapsed="false">
      <c r="A75" s="4" t="s">
        <v>465</v>
      </c>
      <c r="B75" s="4" t="s">
        <v>212</v>
      </c>
      <c r="C75" s="4"/>
      <c r="D75" s="4"/>
      <c r="E75" s="4"/>
      <c r="F75" s="4" t="s">
        <v>395</v>
      </c>
      <c r="G75" s="4"/>
    </row>
    <row r="76" customFormat="false" ht="15" hidden="false" customHeight="true" outlineLevel="0" collapsed="false">
      <c r="A76" s="38" t="s">
        <v>466</v>
      </c>
      <c r="B76" s="28" t="n">
        <f aca="false">D47+D72</f>
        <v>5114</v>
      </c>
      <c r="C76" s="32"/>
      <c r="D76" s="32"/>
      <c r="E76" s="32"/>
      <c r="F76" s="35" t="s">
        <v>467</v>
      </c>
      <c r="G76" s="35"/>
    </row>
    <row r="77" customFormat="false" ht="15" hidden="false" customHeight="true" outlineLevel="0" collapsed="false">
      <c r="A77" s="10" t="s">
        <v>468</v>
      </c>
      <c r="B77" s="25" t="n">
        <f aca="false">E47+E72</f>
        <v>30</v>
      </c>
      <c r="C77" s="32"/>
      <c r="D77" s="32"/>
      <c r="E77" s="32"/>
      <c r="F77" s="35" t="s">
        <v>469</v>
      </c>
      <c r="G77" s="35"/>
    </row>
    <row r="78" customFormat="false" ht="15" hidden="false" customHeight="true" outlineLevel="0" collapsed="false">
      <c r="A78" s="10" t="s">
        <v>470</v>
      </c>
      <c r="B78" s="25" t="n">
        <f aca="false">MAX(E48,E72)</f>
        <v>30</v>
      </c>
      <c r="C78" s="32"/>
      <c r="D78" s="32"/>
      <c r="E78" s="32"/>
      <c r="F78" s="35" t="s">
        <v>471</v>
      </c>
      <c r="G78" s="35"/>
    </row>
    <row r="79" customFormat="false" ht="19.4" hidden="false" customHeight="true" outlineLevel="0" collapsed="false">
      <c r="A79" s="10" t="s">
        <v>472</v>
      </c>
      <c r="B79" s="31" t="n">
        <f aca="false">C48+C72</f>
        <v>5114</v>
      </c>
      <c r="C79" s="32"/>
      <c r="D79" s="32"/>
      <c r="E79" s="32"/>
      <c r="F79" s="35" t="s">
        <v>473</v>
      </c>
      <c r="G79" s="35"/>
    </row>
  </sheetData>
  <mergeCells count="14">
    <mergeCell ref="A1:G1"/>
    <mergeCell ref="A2:G2"/>
    <mergeCell ref="A4:D4"/>
    <mergeCell ref="A18:G18"/>
    <mergeCell ref="A38:G38"/>
    <mergeCell ref="F40:G40"/>
    <mergeCell ref="B49:G49"/>
    <mergeCell ref="A50:G51"/>
    <mergeCell ref="A53:G53"/>
    <mergeCell ref="A74:G74"/>
    <mergeCell ref="F76:G76"/>
    <mergeCell ref="F77:G77"/>
    <mergeCell ref="F78:G78"/>
    <mergeCell ref="F79:G79"/>
  </mergeCells>
  <dataValidations count="2">
    <dataValidation allowBlank="true" errorStyle="stop" operator="between" showDropDown="false" showErrorMessage="false" showInputMessage="false" sqref="B20:B34" type="list">
      <formula1>"Não iniciado,Em andamento,Concluído,Não aplicável"</formula1>
      <formula2>0</formula2>
    </dataValidation>
    <dataValidation allowBlank="true" errorStyle="stop" operator="between" showDropDown="false" showErrorMessage="false" showInputMessage="false" sqref="G20:G34" type="list">
      <formula1>"Sim,Não,N/A"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008C"/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474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475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476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true" outlineLevel="0" collapsed="false">
      <c r="A5" s="35" t="s">
        <v>477</v>
      </c>
      <c r="B5" s="35"/>
      <c r="C5" s="35"/>
      <c r="D5" s="35"/>
      <c r="E5" s="35"/>
      <c r="F5" s="35"/>
      <c r="G5" s="35"/>
      <c r="H5" s="35"/>
      <c r="I5" s="35"/>
    </row>
    <row r="6" customFormat="false" ht="27.75" hidden="false" customHeight="true" outlineLevel="0" collapsed="false">
      <c r="A6" s="4" t="s">
        <v>478</v>
      </c>
      <c r="B6" s="4" t="s">
        <v>479</v>
      </c>
      <c r="C6" s="4" t="s">
        <v>480</v>
      </c>
      <c r="D6" s="4" t="s">
        <v>481</v>
      </c>
      <c r="E6" s="4" t="s">
        <v>482</v>
      </c>
      <c r="F6" s="4" t="s">
        <v>483</v>
      </c>
      <c r="G6" s="4" t="s">
        <v>484</v>
      </c>
      <c r="H6" s="4" t="s">
        <v>485</v>
      </c>
      <c r="I6" s="4" t="s">
        <v>486</v>
      </c>
    </row>
    <row r="7" customFormat="false" ht="24" hidden="false" customHeight="true" outlineLevel="0" collapsed="false">
      <c r="A7" s="10" t="s">
        <v>487</v>
      </c>
      <c r="B7" s="11"/>
      <c r="C7" s="11" t="s">
        <v>488</v>
      </c>
      <c r="D7" s="11"/>
      <c r="E7" s="14"/>
      <c r="F7" s="14"/>
      <c r="G7" s="11"/>
      <c r="H7" s="15"/>
      <c r="I7" s="14"/>
    </row>
    <row r="8" customFormat="false" ht="24" hidden="false" customHeight="true" outlineLevel="0" collapsed="false">
      <c r="A8" s="10" t="s">
        <v>489</v>
      </c>
      <c r="B8" s="11"/>
      <c r="C8" s="11" t="s">
        <v>490</v>
      </c>
      <c r="D8" s="11"/>
      <c r="E8" s="14"/>
      <c r="F8" s="14"/>
      <c r="G8" s="11"/>
      <c r="H8" s="15"/>
      <c r="I8" s="14"/>
    </row>
    <row r="9" customFormat="false" ht="24" hidden="false" customHeight="true" outlineLevel="0" collapsed="false">
      <c r="A9" s="10" t="s">
        <v>491</v>
      </c>
      <c r="B9" s="11"/>
      <c r="C9" s="11" t="s">
        <v>492</v>
      </c>
      <c r="D9" s="11"/>
      <c r="E9" s="14"/>
      <c r="F9" s="14"/>
      <c r="G9" s="11"/>
      <c r="H9" s="15"/>
      <c r="I9" s="14"/>
    </row>
    <row r="10" customFormat="false" ht="24" hidden="false" customHeight="true" outlineLevel="0" collapsed="false">
      <c r="A10" s="10" t="s">
        <v>493</v>
      </c>
      <c r="B10" s="11"/>
      <c r="C10" s="11" t="s">
        <v>494</v>
      </c>
      <c r="D10" s="11"/>
      <c r="E10" s="14"/>
      <c r="F10" s="14"/>
      <c r="G10" s="11"/>
      <c r="H10" s="15"/>
      <c r="I10" s="14"/>
    </row>
    <row r="11" customFormat="false" ht="24" hidden="false" customHeight="true" outlineLevel="0" collapsed="false">
      <c r="A11" s="10" t="s">
        <v>495</v>
      </c>
      <c r="B11" s="11"/>
      <c r="C11" s="11" t="s">
        <v>496</v>
      </c>
      <c r="D11" s="11"/>
      <c r="E11" s="14"/>
      <c r="F11" s="14"/>
      <c r="G11" s="11"/>
      <c r="H11" s="15"/>
      <c r="I11" s="14"/>
    </row>
    <row r="12" customFormat="false" ht="24" hidden="false" customHeight="true" outlineLevel="0" collapsed="false">
      <c r="A12" s="10" t="s">
        <v>497</v>
      </c>
      <c r="B12" s="11"/>
      <c r="C12" s="11" t="s">
        <v>498</v>
      </c>
      <c r="D12" s="11"/>
      <c r="E12" s="14"/>
      <c r="F12" s="14"/>
      <c r="G12" s="11"/>
      <c r="H12" s="15"/>
      <c r="I12" s="14"/>
    </row>
    <row r="13" customFormat="false" ht="24" hidden="false" customHeight="true" outlineLevel="0" collapsed="false">
      <c r="A13" s="10" t="s">
        <v>499</v>
      </c>
      <c r="B13" s="11"/>
      <c r="C13" s="11" t="s">
        <v>500</v>
      </c>
      <c r="D13" s="11"/>
      <c r="E13" s="14"/>
      <c r="F13" s="14"/>
      <c r="G13" s="11"/>
      <c r="H13" s="15"/>
      <c r="I13" s="14"/>
    </row>
    <row r="14" customFormat="false" ht="24" hidden="false" customHeight="true" outlineLevel="0" collapsed="false">
      <c r="A14" s="10" t="s">
        <v>501</v>
      </c>
      <c r="B14" s="11"/>
      <c r="C14" s="11" t="s">
        <v>502</v>
      </c>
      <c r="D14" s="11"/>
      <c r="E14" s="14"/>
      <c r="F14" s="14"/>
      <c r="G14" s="11"/>
      <c r="H14" s="15"/>
      <c r="I14" s="14"/>
    </row>
    <row r="15" customFormat="false" ht="23.85" hidden="false" customHeight="false" outlineLevel="0" collapsed="false">
      <c r="A15" s="29" t="s">
        <v>503</v>
      </c>
      <c r="B15" s="32"/>
      <c r="C15" s="32"/>
      <c r="D15" s="32"/>
      <c r="E15" s="32"/>
      <c r="F15" s="32"/>
      <c r="G15" s="18" t="n">
        <f aca="false">'5. Custos'!J49</f>
        <v>0</v>
      </c>
      <c r="H15" s="28" t="n">
        <f aca="false">SUM(H7:H14)</f>
        <v>0</v>
      </c>
      <c r="I15" s="32"/>
    </row>
    <row r="16" customFormat="false" ht="23.85" hidden="false" customHeight="false" outlineLevel="0" collapsed="false">
      <c r="A16" s="29" t="s">
        <v>504</v>
      </c>
      <c r="B16" s="32"/>
      <c r="C16" s="32"/>
      <c r="D16" s="32"/>
      <c r="E16" s="32"/>
      <c r="F16" s="25" t="n">
        <f aca="false">IFERROR(MAX(F7:F14),0)</f>
        <v>0</v>
      </c>
      <c r="G16" s="32"/>
      <c r="H16" s="32"/>
      <c r="I16" s="32"/>
    </row>
    <row r="17" customFormat="false" ht="23.85" hidden="false" customHeight="false" outlineLevel="0" collapsed="false">
      <c r="A17" s="29" t="s">
        <v>505</v>
      </c>
      <c r="B17" s="32"/>
      <c r="C17" s="32"/>
      <c r="D17" s="32"/>
      <c r="E17" s="25" t="n">
        <f aca="false">IFERROR(MAX(E7:E14),0)</f>
        <v>0</v>
      </c>
      <c r="F17" s="32"/>
      <c r="G17" s="32"/>
      <c r="H17" s="32"/>
      <c r="I17" s="32"/>
    </row>
    <row r="18" customFormat="false" ht="46.25" hidden="false" customHeight="false" outlineLevel="0" collapsed="false">
      <c r="A18" s="29" t="s">
        <v>506</v>
      </c>
      <c r="B18" s="32"/>
      <c r="C18" s="32"/>
      <c r="D18" s="32"/>
      <c r="E18" s="32"/>
      <c r="F18" s="32"/>
      <c r="G18" s="28" t="n">
        <f aca="false">IFERROR(MAX(E7:E14)*G15,0)</f>
        <v>0</v>
      </c>
      <c r="H18" s="12" t="s">
        <v>507</v>
      </c>
      <c r="I18" s="32"/>
    </row>
    <row r="20" customFormat="false" ht="19.5" hidden="false" customHeight="true" outlineLevel="0" collapsed="false">
      <c r="A20" s="3" t="s">
        <v>508</v>
      </c>
      <c r="B20" s="3"/>
      <c r="C20" s="3"/>
      <c r="D20" s="3"/>
      <c r="E20" s="3"/>
      <c r="F20" s="3"/>
      <c r="G20" s="3"/>
      <c r="H20" s="3"/>
      <c r="I20" s="3"/>
    </row>
    <row r="21" customFormat="false" ht="27.75" hidden="false" customHeight="true" outlineLevel="0" collapsed="false">
      <c r="A21" s="4" t="s">
        <v>509</v>
      </c>
      <c r="B21" s="4" t="s">
        <v>510</v>
      </c>
      <c r="C21" s="4" t="s">
        <v>356</v>
      </c>
      <c r="D21" s="4" t="s">
        <v>511</v>
      </c>
      <c r="E21" s="4"/>
      <c r="F21" s="4"/>
      <c r="G21" s="4"/>
      <c r="H21" s="4"/>
      <c r="I21" s="4"/>
    </row>
    <row r="22" customFormat="false" ht="21.75" hidden="false" customHeight="true" outlineLevel="0" collapsed="false">
      <c r="A22" s="10" t="s">
        <v>512</v>
      </c>
      <c r="B22" s="11"/>
      <c r="C22" s="11"/>
      <c r="D22" s="34"/>
      <c r="E22" s="34"/>
      <c r="F22" s="34"/>
      <c r="G22" s="34"/>
      <c r="H22" s="34"/>
      <c r="I22" s="34"/>
    </row>
    <row r="23" customFormat="false" ht="21.75" hidden="false" customHeight="true" outlineLevel="0" collapsed="false">
      <c r="A23" s="10" t="s">
        <v>513</v>
      </c>
      <c r="B23" s="11"/>
      <c r="C23" s="11"/>
      <c r="D23" s="34"/>
      <c r="E23" s="34"/>
      <c r="F23" s="34"/>
      <c r="G23" s="34"/>
      <c r="H23" s="34"/>
      <c r="I23" s="34"/>
    </row>
    <row r="24" customFormat="false" ht="21.75" hidden="false" customHeight="true" outlineLevel="0" collapsed="false">
      <c r="A24" s="10" t="s">
        <v>514</v>
      </c>
      <c r="B24" s="11"/>
      <c r="C24" s="11"/>
      <c r="D24" s="34"/>
      <c r="E24" s="34"/>
      <c r="F24" s="34"/>
      <c r="G24" s="34"/>
      <c r="H24" s="34"/>
      <c r="I24" s="34"/>
    </row>
    <row r="25" customFormat="false" ht="21.75" hidden="false" customHeight="true" outlineLevel="0" collapsed="false">
      <c r="A25" s="10" t="s">
        <v>515</v>
      </c>
      <c r="B25" s="11"/>
      <c r="C25" s="11"/>
      <c r="D25" s="34"/>
      <c r="E25" s="34"/>
      <c r="F25" s="34"/>
      <c r="G25" s="34"/>
      <c r="H25" s="34"/>
      <c r="I25" s="34"/>
    </row>
    <row r="26" customFormat="false" ht="21.75" hidden="false" customHeight="true" outlineLevel="0" collapsed="false">
      <c r="A26" s="10" t="s">
        <v>516</v>
      </c>
      <c r="B26" s="11"/>
      <c r="C26" s="11"/>
      <c r="D26" s="34"/>
      <c r="E26" s="34"/>
      <c r="F26" s="34"/>
      <c r="G26" s="34"/>
      <c r="H26" s="34"/>
      <c r="I26" s="34"/>
    </row>
    <row r="27" customFormat="false" ht="21.75" hidden="false" customHeight="true" outlineLevel="0" collapsed="false">
      <c r="A27" s="10" t="s">
        <v>517</v>
      </c>
      <c r="B27" s="11"/>
      <c r="C27" s="11"/>
      <c r="D27" s="34"/>
      <c r="E27" s="34"/>
      <c r="F27" s="34"/>
      <c r="G27" s="34"/>
      <c r="H27" s="34"/>
      <c r="I27" s="34"/>
    </row>
    <row r="28" customFormat="false" ht="21.75" hidden="false" customHeight="true" outlineLevel="0" collapsed="false">
      <c r="A28" s="10" t="s">
        <v>518</v>
      </c>
      <c r="B28" s="11"/>
      <c r="C28" s="11"/>
      <c r="D28" s="34"/>
      <c r="E28" s="34"/>
      <c r="F28" s="34"/>
      <c r="G28" s="34"/>
      <c r="H28" s="34"/>
      <c r="I28" s="34"/>
    </row>
    <row r="29" customFormat="false" ht="21.75" hidden="false" customHeight="true" outlineLevel="0" collapsed="false">
      <c r="A29" s="10" t="s">
        <v>519</v>
      </c>
      <c r="B29" s="11"/>
      <c r="C29" s="11"/>
      <c r="D29" s="34"/>
      <c r="E29" s="34"/>
      <c r="F29" s="34"/>
      <c r="G29" s="34"/>
      <c r="H29" s="34"/>
      <c r="I29" s="34"/>
    </row>
    <row r="30" customFormat="false" ht="21.75" hidden="false" customHeight="true" outlineLevel="0" collapsed="false">
      <c r="A30" s="10" t="s">
        <v>520</v>
      </c>
      <c r="B30" s="11"/>
      <c r="C30" s="11"/>
      <c r="D30" s="34"/>
      <c r="E30" s="34"/>
      <c r="F30" s="34"/>
      <c r="G30" s="34"/>
      <c r="H30" s="34"/>
      <c r="I30" s="34"/>
    </row>
    <row r="31" customFormat="false" ht="21.75" hidden="false" customHeight="true" outlineLevel="0" collapsed="false">
      <c r="A31" s="10" t="s">
        <v>521</v>
      </c>
      <c r="B31" s="11"/>
      <c r="C31" s="11"/>
      <c r="D31" s="34"/>
      <c r="E31" s="34"/>
      <c r="F31" s="34"/>
      <c r="G31" s="34"/>
      <c r="H31" s="34"/>
      <c r="I31" s="34"/>
    </row>
    <row r="32" customFormat="false" ht="21.75" hidden="false" customHeight="true" outlineLevel="0" collapsed="false">
      <c r="A32" s="10" t="s">
        <v>522</v>
      </c>
      <c r="B32" s="11"/>
      <c r="C32" s="11"/>
      <c r="D32" s="34"/>
      <c r="E32" s="34"/>
      <c r="F32" s="34"/>
      <c r="G32" s="34"/>
      <c r="H32" s="34"/>
      <c r="I32" s="34"/>
    </row>
    <row r="33" customFormat="false" ht="21.75" hidden="false" customHeight="true" outlineLevel="0" collapsed="false">
      <c r="A33" s="10" t="s">
        <v>523</v>
      </c>
      <c r="B33" s="11"/>
      <c r="C33" s="11"/>
      <c r="D33" s="34"/>
      <c r="E33" s="34"/>
      <c r="F33" s="34"/>
      <c r="G33" s="34"/>
      <c r="H33" s="34"/>
      <c r="I33" s="34"/>
    </row>
    <row r="34" customFormat="false" ht="21.75" hidden="false" customHeight="true" outlineLevel="0" collapsed="false">
      <c r="A34" s="10" t="s">
        <v>524</v>
      </c>
      <c r="B34" s="11"/>
      <c r="C34" s="11"/>
      <c r="D34" s="34"/>
      <c r="E34" s="34"/>
      <c r="F34" s="34"/>
      <c r="G34" s="34"/>
      <c r="H34" s="34"/>
      <c r="I34" s="34"/>
    </row>
    <row r="35" customFormat="false" ht="21.75" hidden="false" customHeight="true" outlineLevel="0" collapsed="false">
      <c r="A35" s="10" t="s">
        <v>525</v>
      </c>
      <c r="B35" s="11"/>
      <c r="C35" s="11"/>
      <c r="D35" s="34"/>
      <c r="E35" s="34"/>
      <c r="F35" s="34"/>
      <c r="G35" s="34"/>
      <c r="H35" s="34"/>
      <c r="I35" s="34"/>
    </row>
    <row r="36" customFormat="false" ht="21.75" hidden="false" customHeight="true" outlineLevel="0" collapsed="false">
      <c r="A36" s="10" t="s">
        <v>526</v>
      </c>
      <c r="B36" s="11"/>
      <c r="C36" s="11"/>
      <c r="D36" s="34"/>
      <c r="E36" s="34"/>
      <c r="F36" s="34"/>
      <c r="G36" s="34"/>
      <c r="H36" s="34"/>
      <c r="I36" s="34"/>
    </row>
    <row r="37" customFormat="false" ht="19.4" hidden="false" customHeight="false" outlineLevel="0" collapsed="false">
      <c r="A37" s="29" t="s">
        <v>527</v>
      </c>
      <c r="B37" s="30" t="n">
        <f aca="false">IFERROR(COUNTIF(B22:B36,"Sim")/(COUNTA(B22:B36)-COUNTIF(B22:B36,"N/A")),0)</f>
        <v>0</v>
      </c>
      <c r="C37" s="32"/>
      <c r="D37" s="12" t="s">
        <v>528</v>
      </c>
    </row>
    <row r="39" customFormat="false" ht="19.5" hidden="false" customHeight="true" outlineLevel="0" collapsed="false">
      <c r="A39" s="3" t="s">
        <v>529</v>
      </c>
      <c r="B39" s="3"/>
      <c r="C39" s="3"/>
      <c r="D39" s="3"/>
      <c r="E39" s="3"/>
      <c r="F39" s="3"/>
      <c r="G39" s="3"/>
      <c r="H39" s="3"/>
      <c r="I39" s="3"/>
    </row>
    <row r="40" customFormat="false" ht="27.75" hidden="false" customHeight="true" outlineLevel="0" collapsed="false">
      <c r="A40" s="4" t="s">
        <v>328</v>
      </c>
      <c r="B40" s="4" t="s">
        <v>212</v>
      </c>
      <c r="C40" s="4" t="s">
        <v>257</v>
      </c>
      <c r="D40" s="4" t="s">
        <v>511</v>
      </c>
      <c r="E40" s="4"/>
      <c r="F40" s="4"/>
      <c r="G40" s="4"/>
      <c r="H40" s="4"/>
      <c r="I40" s="4"/>
    </row>
    <row r="41" customFormat="false" ht="15" hidden="false" customHeight="true" outlineLevel="0" collapsed="false">
      <c r="A41" s="10" t="s">
        <v>530</v>
      </c>
      <c r="B41" s="14"/>
      <c r="C41" s="12" t="s">
        <v>531</v>
      </c>
      <c r="D41" s="35" t="s">
        <v>532</v>
      </c>
      <c r="E41" s="35"/>
      <c r="F41" s="35"/>
      <c r="G41" s="35"/>
      <c r="H41" s="35"/>
      <c r="I41" s="35"/>
    </row>
    <row r="42" customFormat="false" ht="15" hidden="false" customHeight="false" outlineLevel="0" collapsed="false">
      <c r="A42" s="10" t="s">
        <v>533</v>
      </c>
      <c r="B42" s="14"/>
      <c r="C42" s="12" t="s">
        <v>534</v>
      </c>
      <c r="D42" s="35"/>
      <c r="E42" s="35"/>
      <c r="F42" s="35"/>
      <c r="G42" s="35"/>
      <c r="H42" s="35"/>
      <c r="I42" s="35"/>
    </row>
    <row r="43" customFormat="false" ht="15" hidden="false" customHeight="false" outlineLevel="0" collapsed="false">
      <c r="A43" s="10" t="s">
        <v>535</v>
      </c>
      <c r="B43" s="14"/>
      <c r="C43" s="12" t="s">
        <v>536</v>
      </c>
      <c r="D43" s="35"/>
      <c r="E43" s="35"/>
      <c r="F43" s="35"/>
      <c r="G43" s="35"/>
      <c r="H43" s="35"/>
      <c r="I43" s="35"/>
    </row>
    <row r="44" customFormat="false" ht="15" hidden="false" customHeight="true" outlineLevel="0" collapsed="false">
      <c r="A44" s="10" t="s">
        <v>537</v>
      </c>
      <c r="B44" s="26"/>
      <c r="C44" s="12" t="s">
        <v>538</v>
      </c>
      <c r="D44" s="35" t="s">
        <v>539</v>
      </c>
      <c r="E44" s="35"/>
      <c r="F44" s="35"/>
      <c r="G44" s="35"/>
      <c r="H44" s="35"/>
      <c r="I44" s="35"/>
    </row>
    <row r="45" customFormat="false" ht="15" hidden="false" customHeight="true" outlineLevel="0" collapsed="false">
      <c r="A45" s="10" t="s">
        <v>540</v>
      </c>
      <c r="B45" s="26"/>
      <c r="C45" s="12" t="s">
        <v>541</v>
      </c>
      <c r="D45" s="35" t="s">
        <v>542</v>
      </c>
      <c r="E45" s="35"/>
      <c r="F45" s="35"/>
      <c r="G45" s="35"/>
      <c r="H45" s="35"/>
      <c r="I45" s="35"/>
    </row>
    <row r="46" customFormat="false" ht="15" hidden="false" customHeight="false" outlineLevel="0" collapsed="false">
      <c r="A46" s="10" t="s">
        <v>543</v>
      </c>
      <c r="B46" s="14"/>
      <c r="C46" s="12" t="s">
        <v>544</v>
      </c>
      <c r="D46" s="35"/>
      <c r="E46" s="35"/>
      <c r="F46" s="35"/>
      <c r="G46" s="35"/>
      <c r="H46" s="35"/>
      <c r="I46" s="35"/>
    </row>
    <row r="47" customFormat="false" ht="15" hidden="false" customHeight="true" outlineLevel="0" collapsed="false">
      <c r="A47" s="29" t="s">
        <v>545</v>
      </c>
      <c r="B47" s="25" t="n">
        <f aca="false">IFERROR(B42*B43,0)</f>
        <v>0</v>
      </c>
      <c r="C47" s="12" t="s">
        <v>534</v>
      </c>
      <c r="D47" s="35" t="s">
        <v>546</v>
      </c>
      <c r="E47" s="35"/>
      <c r="F47" s="35"/>
      <c r="G47" s="35"/>
      <c r="H47" s="35"/>
      <c r="I47" s="35"/>
    </row>
    <row r="48" customFormat="false" ht="15" hidden="false" customHeight="true" outlineLevel="0" collapsed="false">
      <c r="A48" s="29" t="s">
        <v>547</v>
      </c>
      <c r="B48" s="25" t="n">
        <f aca="false">IFERROR(B47*B41,0)</f>
        <v>0</v>
      </c>
      <c r="C48" s="12" t="s">
        <v>531</v>
      </c>
      <c r="D48" s="35" t="s">
        <v>548</v>
      </c>
      <c r="E48" s="35"/>
      <c r="F48" s="35"/>
      <c r="G48" s="35"/>
      <c r="H48" s="35"/>
      <c r="I48" s="35"/>
    </row>
  </sheetData>
  <mergeCells count="29">
    <mergeCell ref="A1:I1"/>
    <mergeCell ref="A2:I2"/>
    <mergeCell ref="A4:I4"/>
    <mergeCell ref="A5:I5"/>
    <mergeCell ref="A20:I20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34:I34"/>
    <mergeCell ref="D35:I35"/>
    <mergeCell ref="D36:I36"/>
    <mergeCell ref="A39:I39"/>
    <mergeCell ref="D41:I41"/>
    <mergeCell ref="D42:I42"/>
    <mergeCell ref="D43:I43"/>
    <mergeCell ref="D44:I44"/>
    <mergeCell ref="D45:I45"/>
    <mergeCell ref="D46:I46"/>
    <mergeCell ref="D47:I47"/>
    <mergeCell ref="D48:I48"/>
  </mergeCells>
  <dataValidations count="1">
    <dataValidation allowBlank="true" errorStyle="stop" operator="between" showDropDown="false" showErrorMessage="false" showInputMessage="false" sqref="B22:B36" type="list">
      <formula1>"Sim,Não,N/A"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008C"/>
    <pageSetUpPr fitToPage="false"/>
  </sheetPr>
  <dimension ref="A1:L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40"/>
  </cols>
  <sheetData>
    <row r="1" customFormat="false" ht="30" hidden="false" customHeight="true" outlineLevel="0" collapsed="false">
      <c r="A1" s="1" t="s">
        <v>549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550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3" t="s">
        <v>551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7.75" hidden="false" customHeight="true" outlineLevel="0" collapsed="false">
      <c r="A5" s="4" t="s">
        <v>328</v>
      </c>
      <c r="B5" s="4" t="s">
        <v>212</v>
      </c>
      <c r="C5" s="4" t="s">
        <v>257</v>
      </c>
      <c r="D5" s="4" t="s">
        <v>395</v>
      </c>
      <c r="E5" s="4"/>
      <c r="F5" s="4"/>
      <c r="G5" s="4"/>
      <c r="H5" s="4"/>
      <c r="I5" s="4"/>
      <c r="J5" s="4"/>
      <c r="K5" s="4"/>
      <c r="L5" s="4"/>
    </row>
    <row r="6" customFormat="false" ht="24" hidden="false" customHeight="true" outlineLevel="0" collapsed="false">
      <c r="A6" s="10" t="s">
        <v>552</v>
      </c>
      <c r="B6" s="26"/>
      <c r="C6" s="12" t="s">
        <v>553</v>
      </c>
      <c r="D6" s="35" t="s">
        <v>554</v>
      </c>
      <c r="E6" s="35"/>
      <c r="F6" s="35"/>
      <c r="G6" s="35"/>
      <c r="H6" s="35"/>
      <c r="I6" s="35"/>
      <c r="J6" s="35"/>
      <c r="K6" s="35"/>
      <c r="L6" s="35"/>
    </row>
    <row r="7" customFormat="false" ht="24" hidden="false" customHeight="true" outlineLevel="0" collapsed="false">
      <c r="A7" s="10" t="s">
        <v>555</v>
      </c>
      <c r="B7" s="16" t="n">
        <v>0.01</v>
      </c>
      <c r="C7" s="12" t="s">
        <v>284</v>
      </c>
      <c r="D7" s="35" t="s">
        <v>556</v>
      </c>
      <c r="E7" s="35"/>
      <c r="F7" s="35"/>
      <c r="G7" s="35"/>
      <c r="H7" s="35"/>
      <c r="I7" s="35"/>
      <c r="J7" s="35"/>
      <c r="K7" s="35"/>
      <c r="L7" s="35"/>
    </row>
    <row r="8" customFormat="false" ht="24" hidden="false" customHeight="true" outlineLevel="0" collapsed="false">
      <c r="A8" s="10" t="s">
        <v>557</v>
      </c>
      <c r="B8" s="33" t="n">
        <f aca="false">IFERROR(B6*(1+B7),0)</f>
        <v>0</v>
      </c>
      <c r="C8" s="12" t="s">
        <v>553</v>
      </c>
      <c r="D8" s="35" t="s">
        <v>558</v>
      </c>
      <c r="E8" s="35"/>
      <c r="F8" s="35"/>
      <c r="G8" s="35"/>
      <c r="H8" s="35"/>
      <c r="I8" s="35"/>
      <c r="J8" s="35"/>
      <c r="K8" s="35"/>
      <c r="L8" s="35"/>
    </row>
    <row r="9" customFormat="false" ht="24" hidden="false" customHeight="true" outlineLevel="0" collapsed="false">
      <c r="A9" s="10" t="s">
        <v>559</v>
      </c>
      <c r="B9" s="16" t="n">
        <v>0.02</v>
      </c>
      <c r="C9" s="12" t="s">
        <v>284</v>
      </c>
      <c r="D9" s="35" t="s">
        <v>560</v>
      </c>
      <c r="E9" s="35"/>
      <c r="F9" s="35"/>
      <c r="G9" s="35"/>
      <c r="H9" s="35"/>
      <c r="I9" s="35"/>
      <c r="J9" s="35"/>
      <c r="K9" s="35"/>
      <c r="L9" s="35"/>
    </row>
    <row r="10" customFormat="false" ht="24" hidden="false" customHeight="true" outlineLevel="0" collapsed="false">
      <c r="A10" s="10" t="s">
        <v>561</v>
      </c>
      <c r="B10" s="14"/>
      <c r="C10" s="12" t="s">
        <v>531</v>
      </c>
      <c r="D10" s="35" t="s">
        <v>562</v>
      </c>
      <c r="E10" s="35"/>
      <c r="F10" s="35"/>
      <c r="G10" s="35"/>
      <c r="H10" s="35"/>
      <c r="I10" s="35"/>
      <c r="J10" s="35"/>
      <c r="K10" s="35"/>
      <c r="L10" s="35"/>
    </row>
    <row r="11" customFormat="false" ht="24" hidden="false" customHeight="true" outlineLevel="0" collapsed="false">
      <c r="A11" s="10" t="s">
        <v>563</v>
      </c>
      <c r="B11" s="14"/>
      <c r="C11" s="12" t="s">
        <v>564</v>
      </c>
      <c r="D11" s="35" t="s">
        <v>565</v>
      </c>
      <c r="E11" s="35"/>
      <c r="F11" s="35"/>
      <c r="G11" s="35"/>
      <c r="H11" s="35"/>
      <c r="I11" s="35"/>
      <c r="J11" s="35"/>
      <c r="K11" s="35"/>
      <c r="L11" s="35"/>
    </row>
    <row r="12" customFormat="false" ht="24" hidden="false" customHeight="true" outlineLevel="0" collapsed="false">
      <c r="A12" s="10" t="s">
        <v>566</v>
      </c>
      <c r="B12" s="33" t="n">
        <f aca="false">IFERROR(B10/B11,0)</f>
        <v>0</v>
      </c>
      <c r="C12" s="12" t="s">
        <v>567</v>
      </c>
      <c r="D12" s="35" t="s">
        <v>568</v>
      </c>
      <c r="E12" s="35"/>
      <c r="F12" s="35"/>
      <c r="G12" s="35"/>
      <c r="H12" s="35"/>
      <c r="I12" s="35"/>
      <c r="J12" s="35"/>
      <c r="K12" s="35"/>
      <c r="L12" s="35"/>
    </row>
    <row r="13" customFormat="false" ht="24" hidden="false" customHeight="true" outlineLevel="0" collapsed="false">
      <c r="A13" s="10" t="s">
        <v>569</v>
      </c>
      <c r="B13" s="26"/>
      <c r="C13" s="12" t="s">
        <v>567</v>
      </c>
      <c r="D13" s="35" t="s">
        <v>570</v>
      </c>
      <c r="E13" s="35"/>
      <c r="F13" s="35"/>
      <c r="G13" s="35"/>
      <c r="H13" s="35"/>
      <c r="I13" s="35"/>
      <c r="J13" s="35"/>
      <c r="K13" s="35"/>
      <c r="L13" s="35"/>
    </row>
    <row r="14" customFormat="false" ht="24" hidden="false" customHeight="true" outlineLevel="0" collapsed="false">
      <c r="A14" s="10" t="s">
        <v>571</v>
      </c>
      <c r="B14" s="33" t="n">
        <f aca="false">B12+B13</f>
        <v>0</v>
      </c>
      <c r="C14" s="12" t="s">
        <v>567</v>
      </c>
      <c r="D14" s="35" t="s">
        <v>572</v>
      </c>
      <c r="E14" s="35"/>
      <c r="F14" s="35"/>
      <c r="G14" s="35"/>
      <c r="H14" s="35"/>
      <c r="I14" s="35"/>
      <c r="J14" s="35"/>
      <c r="K14" s="35"/>
      <c r="L14" s="35"/>
    </row>
    <row r="16" customFormat="false" ht="19.5" hidden="false" customHeight="true" outlineLevel="0" collapsed="false">
      <c r="A16" s="3" t="s">
        <v>573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5.75" hidden="false" customHeight="true" outlineLevel="0" collapsed="false">
      <c r="A17" s="39" t="s">
        <v>574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customFormat="false" ht="27.75" hidden="false" customHeight="true" outlineLevel="0" collapsed="false">
      <c r="A18" s="4" t="s">
        <v>575</v>
      </c>
      <c r="B18" s="4" t="s">
        <v>576</v>
      </c>
      <c r="C18" s="4" t="s">
        <v>577</v>
      </c>
      <c r="D18" s="4" t="s">
        <v>257</v>
      </c>
      <c r="E18" s="4" t="s">
        <v>578</v>
      </c>
      <c r="F18" s="4" t="s">
        <v>579</v>
      </c>
      <c r="G18" s="4" t="s">
        <v>580</v>
      </c>
      <c r="H18" s="4" t="s">
        <v>581</v>
      </c>
      <c r="I18" s="4" t="s">
        <v>582</v>
      </c>
      <c r="J18" s="4" t="s">
        <v>583</v>
      </c>
      <c r="K18" s="4" t="s">
        <v>584</v>
      </c>
      <c r="L18" s="4" t="s">
        <v>585</v>
      </c>
    </row>
    <row r="19" customFormat="false" ht="21.75" hidden="false" customHeight="true" outlineLevel="0" collapsed="false">
      <c r="A19" s="11" t="s">
        <v>586</v>
      </c>
      <c r="B19" s="11" t="s">
        <v>587</v>
      </c>
      <c r="C19" s="16" t="n">
        <v>0.7</v>
      </c>
      <c r="D19" s="11" t="s">
        <v>538</v>
      </c>
      <c r="E19" s="27" t="n">
        <v>0.02</v>
      </c>
      <c r="F19" s="27"/>
      <c r="G19" s="16"/>
      <c r="H19" s="31" t="n">
        <f aca="false">IF(E19="","",(E19+F19)*(1-G19))</f>
        <v>0.02</v>
      </c>
      <c r="I19" s="16"/>
      <c r="J19" s="31" t="n">
        <f aca="false">IF(OR(C19="",E19=""),"",IFERROR(H19*C19*$B$8/1000/(1-$B$9)/(1-I19),""))</f>
        <v>0</v>
      </c>
      <c r="K19" s="30" t="str">
        <f aca="false">IF(J19="","",IFERROR(J19/$B$123,""))</f>
        <v/>
      </c>
      <c r="L19" s="11"/>
    </row>
    <row r="20" customFormat="false" ht="21.75" hidden="false" customHeight="true" outlineLevel="0" collapsed="false">
      <c r="A20" s="11"/>
      <c r="B20" s="11"/>
      <c r="C20" s="16"/>
      <c r="D20" s="11" t="s">
        <v>538</v>
      </c>
      <c r="E20" s="27"/>
      <c r="F20" s="27"/>
      <c r="G20" s="16"/>
      <c r="H20" s="31" t="str">
        <f aca="false">IF(E20="","",(E20+F20)*(1-G20))</f>
        <v/>
      </c>
      <c r="I20" s="16"/>
      <c r="J20" s="31" t="str">
        <f aca="false">IF(OR(C20="",E20=""),"",IFERROR(H20*C20*$B$8/1000/(1-$B$9)/(1-I20),""))</f>
        <v/>
      </c>
      <c r="K20" s="30" t="str">
        <f aca="false">IF(J20="","",IFERROR(J20/$B$123,""))</f>
        <v/>
      </c>
      <c r="L20" s="11"/>
    </row>
    <row r="21" customFormat="false" ht="21.75" hidden="false" customHeight="true" outlineLevel="0" collapsed="false">
      <c r="A21" s="11"/>
      <c r="B21" s="11"/>
      <c r="C21" s="16"/>
      <c r="D21" s="11" t="s">
        <v>538</v>
      </c>
      <c r="E21" s="27"/>
      <c r="F21" s="27"/>
      <c r="G21" s="16"/>
      <c r="H21" s="31" t="str">
        <f aca="false">IF(E21="","",(E21+F21)*(1-G21))</f>
        <v/>
      </c>
      <c r="I21" s="16"/>
      <c r="J21" s="31" t="str">
        <f aca="false">IF(OR(C21="",E21=""),"",IFERROR(H21*C21*$B$8/1000/(1-$B$9)/(1-I21),""))</f>
        <v/>
      </c>
      <c r="K21" s="30" t="str">
        <f aca="false">IF(J21="","",IFERROR(J21/$B$123,""))</f>
        <v/>
      </c>
      <c r="L21" s="11"/>
    </row>
    <row r="22" customFormat="false" ht="21.75" hidden="false" customHeight="true" outlineLevel="0" collapsed="false">
      <c r="A22" s="11"/>
      <c r="B22" s="11"/>
      <c r="C22" s="16"/>
      <c r="D22" s="11" t="s">
        <v>538</v>
      </c>
      <c r="E22" s="27"/>
      <c r="F22" s="27"/>
      <c r="G22" s="16"/>
      <c r="H22" s="31" t="str">
        <f aca="false">IF(E22="","",(E22+F22)*(1-G22))</f>
        <v/>
      </c>
      <c r="I22" s="16"/>
      <c r="J22" s="31" t="str">
        <f aca="false">IF(OR(C22="",E22=""),"",IFERROR(H22*C22*$B$8/1000/(1-$B$9)/(1-I22),""))</f>
        <v/>
      </c>
      <c r="K22" s="30" t="str">
        <f aca="false">IF(J22="","",IFERROR(J22/$B$123,""))</f>
        <v/>
      </c>
      <c r="L22" s="11"/>
    </row>
    <row r="23" customFormat="false" ht="21.75" hidden="false" customHeight="true" outlineLevel="0" collapsed="false">
      <c r="A23" s="11"/>
      <c r="B23" s="11"/>
      <c r="C23" s="16"/>
      <c r="D23" s="11" t="s">
        <v>538</v>
      </c>
      <c r="E23" s="27"/>
      <c r="F23" s="27"/>
      <c r="G23" s="16"/>
      <c r="H23" s="31" t="str">
        <f aca="false">IF(E23="","",(E23+F23)*(1-G23))</f>
        <v/>
      </c>
      <c r="I23" s="16"/>
      <c r="J23" s="31" t="str">
        <f aca="false">IF(OR(C23="",E23=""),"",IFERROR(H23*C23*$B$8/1000/(1-$B$9)/(1-I23),""))</f>
        <v/>
      </c>
      <c r="K23" s="30" t="str">
        <f aca="false">IF(J23="","",IFERROR(J23/$B$123,""))</f>
        <v/>
      </c>
      <c r="L23" s="11"/>
    </row>
    <row r="24" customFormat="false" ht="21.75" hidden="false" customHeight="true" outlineLevel="0" collapsed="false">
      <c r="A24" s="11"/>
      <c r="B24" s="11"/>
      <c r="C24" s="16"/>
      <c r="D24" s="11" t="s">
        <v>538</v>
      </c>
      <c r="E24" s="27"/>
      <c r="F24" s="27"/>
      <c r="G24" s="16"/>
      <c r="H24" s="31" t="str">
        <f aca="false">IF(E24="","",(E24+F24)*(1-G24))</f>
        <v/>
      </c>
      <c r="I24" s="16"/>
      <c r="J24" s="31" t="str">
        <f aca="false">IF(OR(C24="",E24=""),"",IFERROR(H24*C24*$B$8/1000/(1-$B$9)/(1-I24),""))</f>
        <v/>
      </c>
      <c r="K24" s="30" t="str">
        <f aca="false">IF(J24="","",IFERROR(J24/$B$123,""))</f>
        <v/>
      </c>
      <c r="L24" s="11"/>
    </row>
    <row r="25" customFormat="false" ht="21.75" hidden="false" customHeight="true" outlineLevel="0" collapsed="false">
      <c r="A25" s="11"/>
      <c r="B25" s="11"/>
      <c r="C25" s="16"/>
      <c r="D25" s="11" t="s">
        <v>538</v>
      </c>
      <c r="E25" s="27"/>
      <c r="F25" s="27"/>
      <c r="G25" s="16"/>
      <c r="H25" s="31" t="str">
        <f aca="false">IF(E25="","",(E25+F25)*(1-G25))</f>
        <v/>
      </c>
      <c r="I25" s="16"/>
      <c r="J25" s="31" t="str">
        <f aca="false">IF(OR(C25="",E25=""),"",IFERROR(H25*C25*$B$8/1000/(1-$B$9)/(1-I25),""))</f>
        <v/>
      </c>
      <c r="K25" s="30" t="str">
        <f aca="false">IF(J25="","",IFERROR(J25/$B$123,""))</f>
        <v/>
      </c>
      <c r="L25" s="11"/>
    </row>
    <row r="26" customFormat="false" ht="21.75" hidden="false" customHeight="true" outlineLevel="0" collapsed="false">
      <c r="A26" s="11"/>
      <c r="B26" s="11"/>
      <c r="C26" s="16"/>
      <c r="D26" s="11" t="s">
        <v>538</v>
      </c>
      <c r="E26" s="27"/>
      <c r="F26" s="27"/>
      <c r="G26" s="16"/>
      <c r="H26" s="31" t="str">
        <f aca="false">IF(E26="","",(E26+F26)*(1-G26))</f>
        <v/>
      </c>
      <c r="I26" s="16"/>
      <c r="J26" s="31" t="str">
        <f aca="false">IF(OR(C26="",E26=""),"",IFERROR(H26*C26*$B$8/1000/(1-$B$9)/(1-I26),""))</f>
        <v/>
      </c>
      <c r="K26" s="30" t="str">
        <f aca="false">IF(J26="","",IFERROR(J26/$B$123,""))</f>
        <v/>
      </c>
      <c r="L26" s="11"/>
    </row>
    <row r="27" customFormat="false" ht="21.75" hidden="false" customHeight="true" outlineLevel="0" collapsed="false">
      <c r="A27" s="11"/>
      <c r="B27" s="11"/>
      <c r="C27" s="16"/>
      <c r="D27" s="11" t="s">
        <v>538</v>
      </c>
      <c r="E27" s="27"/>
      <c r="F27" s="27"/>
      <c r="G27" s="16"/>
      <c r="H27" s="31" t="str">
        <f aca="false">IF(E27="","",(E27+F27)*(1-G27))</f>
        <v/>
      </c>
      <c r="I27" s="16"/>
      <c r="J27" s="31" t="str">
        <f aca="false">IF(OR(C27="",E27=""),"",IFERROR(H27*C27*$B$8/1000/(1-$B$9)/(1-I27),""))</f>
        <v/>
      </c>
      <c r="K27" s="30" t="str">
        <f aca="false">IF(J27="","",IFERROR(J27/$B$123,""))</f>
        <v/>
      </c>
      <c r="L27" s="11"/>
    </row>
    <row r="28" customFormat="false" ht="21.75" hidden="false" customHeight="true" outlineLevel="0" collapsed="false">
      <c r="A28" s="11"/>
      <c r="B28" s="11"/>
      <c r="C28" s="16"/>
      <c r="D28" s="11" t="s">
        <v>538</v>
      </c>
      <c r="E28" s="27"/>
      <c r="F28" s="27"/>
      <c r="G28" s="16"/>
      <c r="H28" s="31" t="str">
        <f aca="false">IF(E28="","",(E28+F28)*(1-G28))</f>
        <v/>
      </c>
      <c r="I28" s="16"/>
      <c r="J28" s="31" t="str">
        <f aca="false">IF(OR(C28="",E28=""),"",IFERROR(H28*C28*$B$8/1000/(1-$B$9)/(1-I28),""))</f>
        <v/>
      </c>
      <c r="K28" s="30" t="str">
        <f aca="false">IF(J28="","",IFERROR(J28/$B$123,""))</f>
        <v/>
      </c>
      <c r="L28" s="11"/>
    </row>
    <row r="29" customFormat="false" ht="21.75" hidden="false" customHeight="true" outlineLevel="0" collapsed="false">
      <c r="A29" s="11"/>
      <c r="B29" s="11"/>
      <c r="C29" s="16"/>
      <c r="D29" s="11" t="s">
        <v>538</v>
      </c>
      <c r="E29" s="27"/>
      <c r="F29" s="27"/>
      <c r="G29" s="16"/>
      <c r="H29" s="31" t="str">
        <f aca="false">IF(E29="","",(E29+F29)*(1-G29))</f>
        <v/>
      </c>
      <c r="I29" s="16"/>
      <c r="J29" s="31" t="str">
        <f aca="false">IF(OR(C29="",E29=""),"",IFERROR(H29*C29*$B$8/1000/(1-$B$9)/(1-I29),""))</f>
        <v/>
      </c>
      <c r="K29" s="30" t="str">
        <f aca="false">IF(J29="","",IFERROR(J29/$B$123,""))</f>
        <v/>
      </c>
      <c r="L29" s="11"/>
    </row>
    <row r="30" customFormat="false" ht="21.75" hidden="false" customHeight="true" outlineLevel="0" collapsed="false">
      <c r="A30" s="11"/>
      <c r="B30" s="11"/>
      <c r="C30" s="16"/>
      <c r="D30" s="11" t="s">
        <v>538</v>
      </c>
      <c r="E30" s="27"/>
      <c r="F30" s="27"/>
      <c r="G30" s="16"/>
      <c r="H30" s="31" t="str">
        <f aca="false">IF(E30="","",(E30+F30)*(1-G30))</f>
        <v/>
      </c>
      <c r="I30" s="16"/>
      <c r="J30" s="31" t="str">
        <f aca="false">IF(OR(C30="",E30=""),"",IFERROR(H30*C30*$B$8/1000/(1-$B$9)/(1-I30),""))</f>
        <v/>
      </c>
      <c r="K30" s="30" t="str">
        <f aca="false">IF(J30="","",IFERROR(J30/$B$123,""))</f>
        <v/>
      </c>
      <c r="L30" s="11"/>
    </row>
    <row r="31" customFormat="false" ht="21.75" hidden="false" customHeight="true" outlineLevel="0" collapsed="false">
      <c r="A31" s="11"/>
      <c r="B31" s="11"/>
      <c r="C31" s="16"/>
      <c r="D31" s="11" t="s">
        <v>538</v>
      </c>
      <c r="E31" s="27"/>
      <c r="F31" s="27"/>
      <c r="G31" s="16"/>
      <c r="H31" s="31" t="str">
        <f aca="false">IF(E31="","",(E31+F31)*(1-G31))</f>
        <v/>
      </c>
      <c r="I31" s="16"/>
      <c r="J31" s="31" t="str">
        <f aca="false">IF(OR(C31="",E31=""),"",IFERROR(H31*C31*$B$8/1000/(1-$B$9)/(1-I31),""))</f>
        <v/>
      </c>
      <c r="K31" s="30" t="str">
        <f aca="false">IF(J31="","",IFERROR(J31/$B$123,""))</f>
        <v/>
      </c>
      <c r="L31" s="11"/>
    </row>
    <row r="32" customFormat="false" ht="21.75" hidden="false" customHeight="true" outlineLevel="0" collapsed="false">
      <c r="A32" s="11"/>
      <c r="B32" s="11"/>
      <c r="C32" s="16"/>
      <c r="D32" s="11" t="s">
        <v>538</v>
      </c>
      <c r="E32" s="27"/>
      <c r="F32" s="27"/>
      <c r="G32" s="16"/>
      <c r="H32" s="31" t="str">
        <f aca="false">IF(E32="","",(E32+F32)*(1-G32))</f>
        <v/>
      </c>
      <c r="I32" s="16"/>
      <c r="J32" s="31" t="str">
        <f aca="false">IF(OR(C32="",E32=""),"",IFERROR(H32*C32*$B$8/1000/(1-$B$9)/(1-I32),""))</f>
        <v/>
      </c>
      <c r="K32" s="30" t="str">
        <f aca="false">IF(J32="","",IFERROR(J32/$B$123,""))</f>
        <v/>
      </c>
      <c r="L32" s="11"/>
    </row>
    <row r="33" customFormat="false" ht="15" hidden="false" customHeight="false" outlineLevel="0" collapsed="false">
      <c r="A33" s="29" t="s">
        <v>588</v>
      </c>
      <c r="B33" s="32"/>
      <c r="C33" s="30" t="n">
        <f aca="false">SUM(C19:C32)</f>
        <v>0.7</v>
      </c>
      <c r="D33" s="32"/>
      <c r="E33" s="32"/>
      <c r="F33" s="32"/>
      <c r="G33" s="32"/>
      <c r="H33" s="32"/>
      <c r="I33" s="32"/>
      <c r="J33" s="31" t="n">
        <f aca="false">SUM(J19:J32)</f>
        <v>0</v>
      </c>
      <c r="K33" s="40" t="n">
        <f aca="false">IFERROR(J33/$B$123,0)</f>
        <v>0</v>
      </c>
      <c r="L33" s="32"/>
    </row>
    <row r="34" customFormat="false" ht="15" hidden="false" customHeight="false" outlineLevel="0" collapsed="false">
      <c r="A34" s="29" t="s">
        <v>589</v>
      </c>
      <c r="B34" s="32"/>
      <c r="C34" s="5" t="str">
        <f aca="false">IF(ABS(C33-1)&lt;0.0001,"OK — 100%","AJUSTAR")</f>
        <v>AJUSTAR</v>
      </c>
      <c r="D34" s="32"/>
      <c r="E34" s="32"/>
      <c r="F34" s="32"/>
      <c r="G34" s="32"/>
      <c r="H34" s="32"/>
      <c r="I34" s="32"/>
      <c r="J34" s="32"/>
      <c r="K34" s="32"/>
      <c r="L34" s="32"/>
    </row>
    <row r="35" customFormat="false" ht="15.75" hidden="false" customHeight="true" outlineLevel="0" collapsed="false">
      <c r="A35" s="39" t="s">
        <v>590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</row>
    <row r="37" customFormat="false" ht="19.5" hidden="false" customHeight="true" outlineLevel="0" collapsed="false">
      <c r="A37" s="3" t="s">
        <v>591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.75" hidden="false" customHeight="true" outlineLevel="0" collapsed="false">
      <c r="A38" s="39" t="s">
        <v>592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</row>
    <row r="39" customFormat="false" ht="27.75" hidden="false" customHeight="true" outlineLevel="0" collapsed="false">
      <c r="A39" s="4" t="s">
        <v>478</v>
      </c>
      <c r="B39" s="4" t="s">
        <v>213</v>
      </c>
      <c r="C39" s="4" t="s">
        <v>593</v>
      </c>
      <c r="D39" s="4" t="s">
        <v>257</v>
      </c>
      <c r="E39" s="4" t="s">
        <v>594</v>
      </c>
      <c r="F39" s="4" t="s">
        <v>595</v>
      </c>
      <c r="G39" s="4" t="s">
        <v>580</v>
      </c>
      <c r="H39" s="4" t="s">
        <v>596</v>
      </c>
      <c r="I39" s="4" t="s">
        <v>597</v>
      </c>
      <c r="J39" s="4" t="s">
        <v>583</v>
      </c>
      <c r="K39" s="4" t="s">
        <v>584</v>
      </c>
      <c r="L39" s="4" t="s">
        <v>598</v>
      </c>
    </row>
    <row r="40" customFormat="false" ht="21.75" hidden="false" customHeight="true" outlineLevel="0" collapsed="false">
      <c r="A40" s="10" t="s">
        <v>599</v>
      </c>
      <c r="B40" s="11"/>
      <c r="C40" s="26"/>
      <c r="D40" s="11" t="s">
        <v>531</v>
      </c>
      <c r="E40" s="27"/>
      <c r="F40" s="27"/>
      <c r="G40" s="16"/>
      <c r="H40" s="31" t="str">
        <f aca="false">IF(E40="","",(E40+F40)*(1-G40))</f>
        <v/>
      </c>
      <c r="I40" s="16"/>
      <c r="J40" s="31" t="str">
        <f aca="false">IF(OR(C40="",E40=""),"",IFERROR(H40*C40/(1-I40),""))</f>
        <v/>
      </c>
      <c r="K40" s="30" t="str">
        <f aca="false">IF(J40="","",IFERROR(J40/$B$123,""))</f>
        <v/>
      </c>
      <c r="L40" s="11" t="s">
        <v>600</v>
      </c>
    </row>
    <row r="41" customFormat="false" ht="21.75" hidden="false" customHeight="true" outlineLevel="0" collapsed="false">
      <c r="A41" s="10" t="s">
        <v>601</v>
      </c>
      <c r="B41" s="11"/>
      <c r="C41" s="26"/>
      <c r="D41" s="11" t="s">
        <v>531</v>
      </c>
      <c r="E41" s="27"/>
      <c r="F41" s="27"/>
      <c r="G41" s="16"/>
      <c r="H41" s="31" t="str">
        <f aca="false">IF(E41="","",(E41+F41)*(1-G41))</f>
        <v/>
      </c>
      <c r="I41" s="16"/>
      <c r="J41" s="31" t="str">
        <f aca="false">IF(OR(C41="",E41=""),"",IFERROR(H41*C41/(1-I41),""))</f>
        <v/>
      </c>
      <c r="K41" s="30" t="str">
        <f aca="false">IF(J41="","",IFERROR(J41/$B$123,""))</f>
        <v/>
      </c>
      <c r="L41" s="11" t="s">
        <v>600</v>
      </c>
    </row>
    <row r="42" customFormat="false" ht="21.75" hidden="false" customHeight="true" outlineLevel="0" collapsed="false">
      <c r="A42" s="10" t="s">
        <v>602</v>
      </c>
      <c r="B42" s="11"/>
      <c r="C42" s="26"/>
      <c r="D42" s="11" t="s">
        <v>531</v>
      </c>
      <c r="E42" s="27"/>
      <c r="F42" s="27"/>
      <c r="G42" s="16"/>
      <c r="H42" s="31" t="str">
        <f aca="false">IF(E42="","",(E42+F42)*(1-G42))</f>
        <v/>
      </c>
      <c r="I42" s="16"/>
      <c r="J42" s="31" t="str">
        <f aca="false">IF(OR(C42="",E42=""),"",IFERROR(H42*C42/(1-I42),""))</f>
        <v/>
      </c>
      <c r="K42" s="30" t="str">
        <f aca="false">IF(J42="","",IFERROR(J42/$B$123,""))</f>
        <v/>
      </c>
      <c r="L42" s="11" t="s">
        <v>600</v>
      </c>
    </row>
    <row r="43" customFormat="false" ht="21.75" hidden="false" customHeight="true" outlineLevel="0" collapsed="false">
      <c r="A43" s="10" t="s">
        <v>603</v>
      </c>
      <c r="B43" s="11"/>
      <c r="C43" s="26"/>
      <c r="D43" s="11" t="s">
        <v>531</v>
      </c>
      <c r="E43" s="27"/>
      <c r="F43" s="27"/>
      <c r="G43" s="16"/>
      <c r="H43" s="31" t="str">
        <f aca="false">IF(E43="","",(E43+F43)*(1-G43))</f>
        <v/>
      </c>
      <c r="I43" s="16"/>
      <c r="J43" s="31" t="str">
        <f aca="false">IF(OR(C43="",E43=""),"",IFERROR(H43*C43/(1-I43),""))</f>
        <v/>
      </c>
      <c r="K43" s="30" t="str">
        <f aca="false">IF(J43="","",IFERROR(J43/$B$123,""))</f>
        <v/>
      </c>
      <c r="L43" s="11" t="s">
        <v>600</v>
      </c>
    </row>
    <row r="44" customFormat="false" ht="21.75" hidden="false" customHeight="true" outlineLevel="0" collapsed="false">
      <c r="A44" s="10" t="s">
        <v>604</v>
      </c>
      <c r="B44" s="11"/>
      <c r="C44" s="26"/>
      <c r="D44" s="11" t="s">
        <v>531</v>
      </c>
      <c r="E44" s="27"/>
      <c r="F44" s="27"/>
      <c r="G44" s="16"/>
      <c r="H44" s="31" t="str">
        <f aca="false">IF(E44="","",(E44+F44)*(1-G44))</f>
        <v/>
      </c>
      <c r="I44" s="16"/>
      <c r="J44" s="31" t="str">
        <f aca="false">IF(OR(C44="",E44=""),"",IFERROR(H44*C44/(1-I44),""))</f>
        <v/>
      </c>
      <c r="K44" s="30" t="str">
        <f aca="false">IF(J44="","",IFERROR(J44/$B$123,""))</f>
        <v/>
      </c>
      <c r="L44" s="11" t="s">
        <v>605</v>
      </c>
    </row>
    <row r="45" customFormat="false" ht="21.75" hidden="false" customHeight="true" outlineLevel="0" collapsed="false">
      <c r="A45" s="10" t="s">
        <v>606</v>
      </c>
      <c r="B45" s="11"/>
      <c r="C45" s="26"/>
      <c r="D45" s="11" t="s">
        <v>531</v>
      </c>
      <c r="E45" s="27"/>
      <c r="F45" s="27"/>
      <c r="G45" s="16"/>
      <c r="H45" s="31" t="str">
        <f aca="false">IF(E45="","",(E45+F45)*(1-G45))</f>
        <v/>
      </c>
      <c r="I45" s="16"/>
      <c r="J45" s="31" t="str">
        <f aca="false">IF(OR(C45="",E45=""),"",IFERROR(H45*C45/(1-I45),""))</f>
        <v/>
      </c>
      <c r="K45" s="30" t="str">
        <f aca="false">IF(J45="","",IFERROR(J45/$B$123,""))</f>
        <v/>
      </c>
      <c r="L45" s="11" t="s">
        <v>605</v>
      </c>
    </row>
    <row r="46" customFormat="false" ht="21.75" hidden="false" customHeight="true" outlineLevel="0" collapsed="false">
      <c r="A46" s="10" t="s">
        <v>497</v>
      </c>
      <c r="B46" s="11"/>
      <c r="C46" s="26"/>
      <c r="D46" s="11" t="s">
        <v>531</v>
      </c>
      <c r="E46" s="27"/>
      <c r="F46" s="27"/>
      <c r="G46" s="16"/>
      <c r="H46" s="31" t="str">
        <f aca="false">IF(E46="","",(E46+F46)*(1-G46))</f>
        <v/>
      </c>
      <c r="I46" s="16"/>
      <c r="J46" s="31" t="str">
        <f aca="false">IF(OR(C46="",E46=""),"",IFERROR(H46*C46/(1-I46),""))</f>
        <v/>
      </c>
      <c r="K46" s="30" t="str">
        <f aca="false">IF(J46="","",IFERROR(J46/$B$123,""))</f>
        <v/>
      </c>
      <c r="L46" s="11" t="s">
        <v>607</v>
      </c>
    </row>
    <row r="47" customFormat="false" ht="21.75" hidden="false" customHeight="true" outlineLevel="0" collapsed="false">
      <c r="A47" s="10" t="s">
        <v>608</v>
      </c>
      <c r="B47" s="11"/>
      <c r="C47" s="26"/>
      <c r="D47" s="11" t="s">
        <v>531</v>
      </c>
      <c r="E47" s="27"/>
      <c r="F47" s="27"/>
      <c r="G47" s="16"/>
      <c r="H47" s="31" t="str">
        <f aca="false">IF(E47="","",(E47+F47)*(1-G47))</f>
        <v/>
      </c>
      <c r="I47" s="16"/>
      <c r="J47" s="31" t="str">
        <f aca="false">IF(OR(C47="",E47=""),"",IFERROR(H47*C47/(1-I47),""))</f>
        <v/>
      </c>
      <c r="K47" s="30" t="str">
        <f aca="false">IF(J47="","",IFERROR(J47/$B$123,""))</f>
        <v/>
      </c>
      <c r="L47" s="11" t="s">
        <v>607</v>
      </c>
    </row>
    <row r="48" customFormat="false" ht="21.75" hidden="false" customHeight="true" outlineLevel="0" collapsed="false">
      <c r="A48" s="10" t="s">
        <v>501</v>
      </c>
      <c r="B48" s="11"/>
      <c r="C48" s="26"/>
      <c r="D48" s="11" t="s">
        <v>531</v>
      </c>
      <c r="E48" s="27"/>
      <c r="F48" s="27"/>
      <c r="G48" s="16"/>
      <c r="H48" s="31" t="str">
        <f aca="false">IF(E48="","",(E48+F48)*(1-G48))</f>
        <v/>
      </c>
      <c r="I48" s="16"/>
      <c r="J48" s="31" t="str">
        <f aca="false">IF(OR(C48="",E48=""),"",IFERROR(H48*C48/(1-I48),""))</f>
        <v/>
      </c>
      <c r="K48" s="30" t="str">
        <f aca="false">IF(J48="","",IFERROR(J48/$B$123,""))</f>
        <v/>
      </c>
      <c r="L48" s="11"/>
    </row>
    <row r="49" customFormat="false" ht="15" hidden="false" customHeight="false" outlineLevel="0" collapsed="false">
      <c r="A49" s="29" t="s">
        <v>609</v>
      </c>
      <c r="B49" s="32"/>
      <c r="C49" s="32"/>
      <c r="D49" s="32"/>
      <c r="E49" s="32"/>
      <c r="F49" s="32"/>
      <c r="G49" s="32"/>
      <c r="H49" s="32"/>
      <c r="I49" s="32"/>
      <c r="J49" s="31" t="n">
        <f aca="false">SUM(J40:J48)</f>
        <v>0</v>
      </c>
      <c r="K49" s="40" t="n">
        <f aca="false">IFERROR(J49/$B$123,0)</f>
        <v>0</v>
      </c>
      <c r="L49" s="32"/>
    </row>
    <row r="51" customFormat="false" ht="19.5" hidden="false" customHeight="true" outlineLevel="0" collapsed="false">
      <c r="A51" s="3" t="s">
        <v>610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.75" hidden="false" customHeight="true" outlineLevel="0" collapsed="false">
      <c r="A52" s="39" t="s">
        <v>611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customFormat="false" ht="27.75" hidden="false" customHeight="true" outlineLevel="0" collapsed="false">
      <c r="A53" s="4" t="s">
        <v>328</v>
      </c>
      <c r="B53" s="4" t="s">
        <v>212</v>
      </c>
      <c r="C53" s="4" t="s">
        <v>257</v>
      </c>
      <c r="D53" s="4" t="s">
        <v>395</v>
      </c>
      <c r="E53" s="4"/>
      <c r="F53" s="4"/>
      <c r="G53" s="4"/>
      <c r="H53" s="4"/>
      <c r="I53" s="4"/>
      <c r="J53" s="4"/>
      <c r="K53" s="4"/>
      <c r="L53" s="4"/>
    </row>
    <row r="54" customFormat="false" ht="24" hidden="false" customHeight="true" outlineLevel="0" collapsed="false">
      <c r="A54" s="10" t="s">
        <v>612</v>
      </c>
      <c r="B54" s="26"/>
      <c r="C54" s="12" t="s">
        <v>613</v>
      </c>
      <c r="D54" s="35" t="s">
        <v>614</v>
      </c>
      <c r="E54" s="35"/>
      <c r="F54" s="35"/>
      <c r="G54" s="35"/>
      <c r="H54" s="35"/>
      <c r="I54" s="35"/>
      <c r="J54" s="35"/>
      <c r="K54" s="35"/>
      <c r="L54" s="35"/>
    </row>
    <row r="55" customFormat="false" ht="24" hidden="false" customHeight="true" outlineLevel="0" collapsed="false">
      <c r="A55" s="10" t="s">
        <v>615</v>
      </c>
      <c r="B55" s="27"/>
      <c r="C55" s="12" t="s">
        <v>616</v>
      </c>
      <c r="D55" s="35" t="s">
        <v>617</v>
      </c>
      <c r="E55" s="35"/>
      <c r="F55" s="35"/>
      <c r="G55" s="35"/>
      <c r="H55" s="35"/>
      <c r="I55" s="35"/>
      <c r="J55" s="35"/>
      <c r="K55" s="35"/>
      <c r="L55" s="35"/>
    </row>
    <row r="56" customFormat="false" ht="24" hidden="false" customHeight="true" outlineLevel="0" collapsed="false">
      <c r="A56" s="10" t="s">
        <v>618</v>
      </c>
      <c r="B56" s="16" t="n">
        <v>0.02</v>
      </c>
      <c r="C56" s="12" t="s">
        <v>284</v>
      </c>
      <c r="D56" s="35" t="s">
        <v>619</v>
      </c>
      <c r="E56" s="35"/>
      <c r="F56" s="35"/>
      <c r="G56" s="35"/>
      <c r="H56" s="35"/>
      <c r="I56" s="35"/>
      <c r="J56" s="35"/>
      <c r="K56" s="35"/>
      <c r="L56" s="35"/>
    </row>
    <row r="57" customFormat="false" ht="24" hidden="false" customHeight="true" outlineLevel="0" collapsed="false">
      <c r="A57" s="10" t="s">
        <v>620</v>
      </c>
      <c r="B57" s="27"/>
      <c r="C57" s="12" t="s">
        <v>616</v>
      </c>
      <c r="D57" s="35" t="s">
        <v>621</v>
      </c>
      <c r="E57" s="35"/>
      <c r="F57" s="35"/>
      <c r="G57" s="35"/>
      <c r="H57" s="35"/>
      <c r="I57" s="35"/>
      <c r="J57" s="35"/>
      <c r="K57" s="35"/>
      <c r="L57" s="35"/>
    </row>
    <row r="58" customFormat="false" ht="24" hidden="false" customHeight="true" outlineLevel="0" collapsed="false">
      <c r="A58" s="10" t="s">
        <v>622</v>
      </c>
      <c r="B58" s="31" t="n">
        <f aca="false">IFERROR(B54/1000*(B55*(1-B56)+B57*B56),0)</f>
        <v>0</v>
      </c>
      <c r="C58" s="12" t="s">
        <v>623</v>
      </c>
      <c r="D58" s="35" t="s">
        <v>624</v>
      </c>
      <c r="E58" s="35"/>
      <c r="F58" s="35"/>
      <c r="G58" s="35"/>
      <c r="H58" s="35"/>
      <c r="I58" s="35"/>
      <c r="J58" s="35"/>
      <c r="K58" s="35"/>
      <c r="L58" s="35"/>
    </row>
    <row r="59" customFormat="false" ht="24" hidden="false" customHeight="true" outlineLevel="0" collapsed="false">
      <c r="A59" s="10" t="s">
        <v>625</v>
      </c>
      <c r="B59" s="16" t="n">
        <v>0.03</v>
      </c>
      <c r="C59" s="12" t="s">
        <v>284</v>
      </c>
      <c r="D59" s="35" t="s">
        <v>626</v>
      </c>
      <c r="E59" s="35"/>
      <c r="F59" s="35"/>
      <c r="G59" s="35"/>
      <c r="H59" s="35"/>
      <c r="I59" s="35"/>
      <c r="J59" s="35"/>
      <c r="K59" s="35"/>
      <c r="L59" s="35"/>
    </row>
    <row r="60" customFormat="false" ht="24" hidden="false" customHeight="true" outlineLevel="0" collapsed="false">
      <c r="A60" s="10" t="s">
        <v>627</v>
      </c>
      <c r="B60" s="31" t="n">
        <f aca="false">IFERROR(B58/(1-B59),0)</f>
        <v>0</v>
      </c>
      <c r="C60" s="12" t="s">
        <v>623</v>
      </c>
      <c r="D60" s="35" t="s">
        <v>628</v>
      </c>
      <c r="E60" s="35"/>
      <c r="F60" s="35"/>
      <c r="G60" s="35"/>
      <c r="H60" s="35"/>
      <c r="I60" s="35"/>
      <c r="J60" s="35"/>
      <c r="K60" s="35"/>
      <c r="L60" s="35"/>
    </row>
    <row r="61" customFormat="false" ht="24" hidden="false" customHeight="true" outlineLevel="0" collapsed="false">
      <c r="A61" s="10" t="s">
        <v>629</v>
      </c>
      <c r="B61" s="14" t="n">
        <v>1</v>
      </c>
      <c r="C61" s="12" t="s">
        <v>630</v>
      </c>
      <c r="D61" s="35" t="s">
        <v>631</v>
      </c>
      <c r="E61" s="35"/>
      <c r="F61" s="35"/>
      <c r="G61" s="35"/>
      <c r="H61" s="35"/>
      <c r="I61" s="35"/>
      <c r="J61" s="35"/>
      <c r="K61" s="35"/>
      <c r="L61" s="35"/>
    </row>
    <row r="62" customFormat="false" ht="24" hidden="false" customHeight="true" outlineLevel="0" collapsed="false">
      <c r="A62" s="10" t="s">
        <v>632</v>
      </c>
      <c r="B62" s="26"/>
      <c r="C62" s="12" t="s">
        <v>633</v>
      </c>
      <c r="D62" s="35" t="s">
        <v>634</v>
      </c>
      <c r="E62" s="35"/>
      <c r="F62" s="35"/>
      <c r="G62" s="35"/>
      <c r="H62" s="35"/>
      <c r="I62" s="35"/>
      <c r="J62" s="35"/>
      <c r="K62" s="35"/>
      <c r="L62" s="35"/>
    </row>
    <row r="63" customFormat="false" ht="24" hidden="false" customHeight="true" outlineLevel="0" collapsed="false">
      <c r="A63" s="10" t="s">
        <v>635</v>
      </c>
      <c r="B63" s="25" t="n">
        <f aca="false">IFERROR(3600/B62*B61,0)</f>
        <v>0</v>
      </c>
      <c r="C63" s="12" t="s">
        <v>636</v>
      </c>
      <c r="D63" s="35" t="s">
        <v>637</v>
      </c>
      <c r="E63" s="35"/>
      <c r="F63" s="35"/>
      <c r="G63" s="35"/>
      <c r="H63" s="35"/>
      <c r="I63" s="35"/>
      <c r="J63" s="35"/>
      <c r="K63" s="35"/>
      <c r="L63" s="35"/>
    </row>
    <row r="64" customFormat="false" ht="24" hidden="false" customHeight="true" outlineLevel="0" collapsed="false">
      <c r="A64" s="10" t="s">
        <v>638</v>
      </c>
      <c r="B64" s="27"/>
      <c r="C64" s="12" t="s">
        <v>639</v>
      </c>
      <c r="D64" s="35" t="s">
        <v>640</v>
      </c>
      <c r="E64" s="35"/>
      <c r="F64" s="35"/>
      <c r="G64" s="35"/>
      <c r="H64" s="35"/>
      <c r="I64" s="35"/>
      <c r="J64" s="35"/>
      <c r="K64" s="35"/>
      <c r="L64" s="35"/>
    </row>
    <row r="65" customFormat="false" ht="24" hidden="false" customHeight="true" outlineLevel="0" collapsed="false">
      <c r="A65" s="10" t="s">
        <v>641</v>
      </c>
      <c r="B65" s="31" t="n">
        <f aca="false">IFERROR(B64/B63,0)</f>
        <v>0</v>
      </c>
      <c r="C65" s="12" t="s">
        <v>623</v>
      </c>
      <c r="D65" s="35" t="s">
        <v>642</v>
      </c>
      <c r="E65" s="35"/>
      <c r="F65" s="35"/>
      <c r="G65" s="35"/>
      <c r="H65" s="35"/>
      <c r="I65" s="35"/>
      <c r="J65" s="35"/>
      <c r="K65" s="35"/>
      <c r="L65" s="35"/>
    </row>
    <row r="66" customFormat="false" ht="24" hidden="false" customHeight="true" outlineLevel="0" collapsed="false">
      <c r="A66" s="10" t="s">
        <v>643</v>
      </c>
      <c r="B66" s="27"/>
      <c r="C66" s="12" t="s">
        <v>623</v>
      </c>
      <c r="D66" s="35" t="s">
        <v>644</v>
      </c>
      <c r="E66" s="35"/>
      <c r="F66" s="35"/>
      <c r="G66" s="35"/>
      <c r="H66" s="35"/>
      <c r="I66" s="35"/>
      <c r="J66" s="35"/>
      <c r="K66" s="35"/>
      <c r="L66" s="35"/>
    </row>
    <row r="67" customFormat="false" ht="24" hidden="false" customHeight="true" outlineLevel="0" collapsed="false">
      <c r="A67" s="38" t="s">
        <v>645</v>
      </c>
      <c r="B67" s="31" t="n">
        <f aca="false">B60+B65+B66</f>
        <v>0</v>
      </c>
      <c r="C67" s="12" t="s">
        <v>623</v>
      </c>
      <c r="D67" s="35" t="s">
        <v>646</v>
      </c>
      <c r="E67" s="35"/>
      <c r="F67" s="35"/>
      <c r="G67" s="35"/>
      <c r="H67" s="35"/>
      <c r="I67" s="35"/>
      <c r="J67" s="35"/>
      <c r="K67" s="35"/>
      <c r="L67" s="35"/>
    </row>
    <row r="69" customFormat="false" ht="19.5" hidden="false" customHeight="true" outlineLevel="0" collapsed="false">
      <c r="A69" s="3" t="s">
        <v>647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.75" hidden="false" customHeight="true" outlineLevel="0" collapsed="false">
      <c r="A70" s="39" t="s">
        <v>648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</row>
    <row r="71" customFormat="false" ht="27.75" hidden="false" customHeight="true" outlineLevel="0" collapsed="false">
      <c r="A71" s="4" t="s">
        <v>649</v>
      </c>
      <c r="B71" s="4" t="s">
        <v>650</v>
      </c>
      <c r="C71" s="4" t="s">
        <v>651</v>
      </c>
      <c r="D71" s="4" t="s">
        <v>652</v>
      </c>
      <c r="E71" s="4" t="s">
        <v>653</v>
      </c>
      <c r="F71" s="4" t="s">
        <v>654</v>
      </c>
      <c r="G71" s="4" t="s">
        <v>655</v>
      </c>
      <c r="H71" s="4" t="s">
        <v>656</v>
      </c>
      <c r="I71" s="4" t="s">
        <v>657</v>
      </c>
      <c r="J71" s="4" t="s">
        <v>583</v>
      </c>
      <c r="K71" s="4" t="s">
        <v>584</v>
      </c>
      <c r="L71" s="4" t="s">
        <v>511</v>
      </c>
    </row>
    <row r="72" customFormat="false" ht="21.75" hidden="false" customHeight="true" outlineLevel="0" collapsed="false">
      <c r="A72" s="10" t="s">
        <v>658</v>
      </c>
      <c r="B72" s="14"/>
      <c r="C72" s="15"/>
      <c r="D72" s="26" t="n">
        <v>1.8</v>
      </c>
      <c r="E72" s="28" t="n">
        <f aca="false">IFERROR(B72*C72*D72,0)</f>
        <v>0</v>
      </c>
      <c r="F72" s="14" t="n">
        <v>176</v>
      </c>
      <c r="G72" s="31" t="n">
        <f aca="false">IFERROR(E72/F72,0)</f>
        <v>0</v>
      </c>
      <c r="H72" s="33" t="n">
        <f aca="false">$B$14</f>
        <v>0</v>
      </c>
      <c r="I72" s="31" t="n">
        <f aca="false">G72*H72</f>
        <v>0</v>
      </c>
      <c r="J72" s="31" t="n">
        <f aca="false">IFERROR(I72/$B$10,0)</f>
        <v>0</v>
      </c>
      <c r="K72" s="30" t="n">
        <f aca="false">IFERROR(J72/$B$123,0)</f>
        <v>0</v>
      </c>
      <c r="L72" s="11"/>
    </row>
    <row r="73" customFormat="false" ht="21.75" hidden="false" customHeight="true" outlineLevel="0" collapsed="false">
      <c r="A73" s="10" t="s">
        <v>659</v>
      </c>
      <c r="B73" s="14"/>
      <c r="C73" s="15"/>
      <c r="D73" s="26" t="n">
        <v>1.8</v>
      </c>
      <c r="E73" s="28" t="n">
        <f aca="false">IFERROR(B73*C73*D73,0)</f>
        <v>0</v>
      </c>
      <c r="F73" s="14" t="n">
        <v>176</v>
      </c>
      <c r="G73" s="31" t="n">
        <f aca="false">IFERROR(E73/F73,0)</f>
        <v>0</v>
      </c>
      <c r="H73" s="33" t="n">
        <f aca="false">$B$14</f>
        <v>0</v>
      </c>
      <c r="I73" s="31" t="n">
        <f aca="false">G73*H73</f>
        <v>0</v>
      </c>
      <c r="J73" s="31" t="n">
        <f aca="false">IFERROR(I73/$B$10,0)</f>
        <v>0</v>
      </c>
      <c r="K73" s="30" t="n">
        <f aca="false">IFERROR(J73/$B$123,0)</f>
        <v>0</v>
      </c>
      <c r="L73" s="11"/>
    </row>
    <row r="74" customFormat="false" ht="21.75" hidden="false" customHeight="true" outlineLevel="0" collapsed="false">
      <c r="A74" s="10" t="s">
        <v>660</v>
      </c>
      <c r="B74" s="14"/>
      <c r="C74" s="15"/>
      <c r="D74" s="26" t="n">
        <v>1.8</v>
      </c>
      <c r="E74" s="28" t="n">
        <f aca="false">IFERROR(B74*C74*D74,0)</f>
        <v>0</v>
      </c>
      <c r="F74" s="14" t="n">
        <v>176</v>
      </c>
      <c r="G74" s="31" t="n">
        <f aca="false">IFERROR(E74/F74,0)</f>
        <v>0</v>
      </c>
      <c r="H74" s="33" t="n">
        <f aca="false">$B$14</f>
        <v>0</v>
      </c>
      <c r="I74" s="31" t="n">
        <f aca="false">G74*H74</f>
        <v>0</v>
      </c>
      <c r="J74" s="31" t="n">
        <f aca="false">IFERROR(I74/$B$10,0)</f>
        <v>0</v>
      </c>
      <c r="K74" s="30" t="n">
        <f aca="false">IFERROR(J74/$B$123,0)</f>
        <v>0</v>
      </c>
      <c r="L74" s="11"/>
    </row>
    <row r="75" customFormat="false" ht="21.75" hidden="false" customHeight="true" outlineLevel="0" collapsed="false">
      <c r="A75" s="10" t="s">
        <v>661</v>
      </c>
      <c r="B75" s="14"/>
      <c r="C75" s="15"/>
      <c r="D75" s="26" t="n">
        <v>1.8</v>
      </c>
      <c r="E75" s="28" t="n">
        <f aca="false">IFERROR(B75*C75*D75,0)</f>
        <v>0</v>
      </c>
      <c r="F75" s="14" t="n">
        <v>176</v>
      </c>
      <c r="G75" s="31" t="n">
        <f aca="false">IFERROR(E75/F75,0)</f>
        <v>0</v>
      </c>
      <c r="H75" s="33" t="n">
        <f aca="false">$B$14</f>
        <v>0</v>
      </c>
      <c r="I75" s="31" t="n">
        <f aca="false">G75*H75</f>
        <v>0</v>
      </c>
      <c r="J75" s="31" t="n">
        <f aca="false">IFERROR(I75/$B$10,0)</f>
        <v>0</v>
      </c>
      <c r="K75" s="30" t="n">
        <f aca="false">IFERROR(J75/$B$123,0)</f>
        <v>0</v>
      </c>
      <c r="L75" s="11"/>
    </row>
    <row r="76" customFormat="false" ht="21.75" hidden="false" customHeight="true" outlineLevel="0" collapsed="false">
      <c r="A76" s="10" t="s">
        <v>662</v>
      </c>
      <c r="B76" s="14"/>
      <c r="C76" s="15"/>
      <c r="D76" s="26" t="n">
        <v>1.8</v>
      </c>
      <c r="E76" s="28" t="n">
        <f aca="false">IFERROR(B76*C76*D76,0)</f>
        <v>0</v>
      </c>
      <c r="F76" s="14" t="n">
        <v>176</v>
      </c>
      <c r="G76" s="31" t="n">
        <f aca="false">IFERROR(E76/F76,0)</f>
        <v>0</v>
      </c>
      <c r="H76" s="33" t="n">
        <f aca="false">$B$14</f>
        <v>0</v>
      </c>
      <c r="I76" s="31" t="n">
        <f aca="false">G76*H76</f>
        <v>0</v>
      </c>
      <c r="J76" s="31" t="n">
        <f aca="false">IFERROR(I76/$B$10,0)</f>
        <v>0</v>
      </c>
      <c r="K76" s="30" t="n">
        <f aca="false">IFERROR(J76/$B$123,0)</f>
        <v>0</v>
      </c>
      <c r="L76" s="11"/>
    </row>
    <row r="77" customFormat="false" ht="15" hidden="false" customHeight="false" outlineLevel="0" collapsed="false">
      <c r="A77" s="29" t="s">
        <v>663</v>
      </c>
      <c r="B77" s="32"/>
      <c r="C77" s="32"/>
      <c r="D77" s="32"/>
      <c r="E77" s="28" t="n">
        <f aca="false">SUM(E72:E76)</f>
        <v>0</v>
      </c>
      <c r="F77" s="32"/>
      <c r="G77" s="32"/>
      <c r="H77" s="32"/>
      <c r="I77" s="28" t="n">
        <f aca="false">SUM(I72:I76)</f>
        <v>0</v>
      </c>
      <c r="J77" s="31" t="n">
        <f aca="false">SUM(J72:J76)</f>
        <v>0</v>
      </c>
      <c r="K77" s="40" t="n">
        <f aca="false">IFERROR(J77/$B$123,0)</f>
        <v>0</v>
      </c>
      <c r="L77" s="32"/>
    </row>
    <row r="78" customFormat="false" ht="15.75" hidden="false" customHeight="true" outlineLevel="0" collapsed="false">
      <c r="A78" s="39" t="s">
        <v>664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80" customFormat="false" ht="19.5" hidden="false" customHeight="true" outlineLevel="0" collapsed="false">
      <c r="A80" s="3" t="s">
        <v>665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.75" hidden="false" customHeight="true" outlineLevel="0" collapsed="false">
      <c r="A81" s="39" t="s">
        <v>666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customFormat="false" ht="27.75" hidden="false" customHeight="true" outlineLevel="0" collapsed="false">
      <c r="A82" s="4" t="s">
        <v>667</v>
      </c>
      <c r="B82" s="4" t="s">
        <v>668</v>
      </c>
      <c r="C82" s="4" t="s">
        <v>669</v>
      </c>
      <c r="D82" s="4" t="s">
        <v>395</v>
      </c>
      <c r="E82" s="4"/>
      <c r="F82" s="4"/>
      <c r="G82" s="4"/>
      <c r="H82" s="4"/>
      <c r="I82" s="4"/>
      <c r="J82" s="4"/>
      <c r="K82" s="4"/>
      <c r="L82" s="4"/>
    </row>
    <row r="83" customFormat="false" ht="21.75" hidden="false" customHeight="true" outlineLevel="0" collapsed="false">
      <c r="A83" s="10" t="s">
        <v>670</v>
      </c>
      <c r="B83" s="11" t="s">
        <v>671</v>
      </c>
      <c r="C83" s="15"/>
      <c r="D83" s="35" t="s">
        <v>672</v>
      </c>
      <c r="E83" s="35"/>
      <c r="F83" s="35"/>
      <c r="G83" s="35"/>
      <c r="H83" s="35"/>
      <c r="I83" s="35"/>
      <c r="J83" s="35"/>
      <c r="K83" s="35"/>
      <c r="L83" s="35"/>
    </row>
    <row r="84" customFormat="false" ht="21.75" hidden="false" customHeight="true" outlineLevel="0" collapsed="false">
      <c r="A84" s="10" t="s">
        <v>673</v>
      </c>
      <c r="B84" s="11" t="s">
        <v>674</v>
      </c>
      <c r="C84" s="15"/>
      <c r="D84" s="35" t="s">
        <v>675</v>
      </c>
      <c r="E84" s="35"/>
      <c r="F84" s="35"/>
      <c r="G84" s="35"/>
      <c r="H84" s="35"/>
      <c r="I84" s="35"/>
      <c r="J84" s="35"/>
      <c r="K84" s="35"/>
      <c r="L84" s="35"/>
    </row>
    <row r="85" customFormat="false" ht="21.75" hidden="false" customHeight="true" outlineLevel="0" collapsed="false">
      <c r="A85" s="10" t="s">
        <v>676</v>
      </c>
      <c r="B85" s="11" t="s">
        <v>677</v>
      </c>
      <c r="C85" s="15"/>
      <c r="D85" s="35" t="s">
        <v>678</v>
      </c>
      <c r="E85" s="35"/>
      <c r="F85" s="35"/>
      <c r="G85" s="35"/>
      <c r="H85" s="35"/>
      <c r="I85" s="35"/>
      <c r="J85" s="35"/>
      <c r="K85" s="35"/>
      <c r="L85" s="35"/>
    </row>
    <row r="86" customFormat="false" ht="21.75" hidden="false" customHeight="true" outlineLevel="0" collapsed="false">
      <c r="A86" s="10" t="s">
        <v>679</v>
      </c>
      <c r="B86" s="11" t="s">
        <v>677</v>
      </c>
      <c r="C86" s="15"/>
      <c r="D86" s="35" t="s">
        <v>680</v>
      </c>
      <c r="E86" s="35"/>
      <c r="F86" s="35"/>
      <c r="G86" s="35"/>
      <c r="H86" s="35"/>
      <c r="I86" s="35"/>
      <c r="J86" s="35"/>
      <c r="K86" s="35"/>
      <c r="L86" s="35"/>
    </row>
    <row r="87" customFormat="false" ht="21.75" hidden="false" customHeight="true" outlineLevel="0" collapsed="false">
      <c r="A87" s="10" t="s">
        <v>681</v>
      </c>
      <c r="B87" s="11" t="s">
        <v>674</v>
      </c>
      <c r="C87" s="15"/>
      <c r="D87" s="35" t="s">
        <v>682</v>
      </c>
      <c r="E87" s="35"/>
      <c r="F87" s="35"/>
      <c r="G87" s="35"/>
      <c r="H87" s="35"/>
      <c r="I87" s="35"/>
      <c r="J87" s="35"/>
      <c r="K87" s="35"/>
      <c r="L87" s="35"/>
    </row>
    <row r="88" customFormat="false" ht="21.75" hidden="false" customHeight="true" outlineLevel="0" collapsed="false">
      <c r="A88" s="10" t="s">
        <v>683</v>
      </c>
      <c r="B88" s="11" t="s">
        <v>671</v>
      </c>
      <c r="C88" s="15"/>
      <c r="D88" s="35" t="s">
        <v>684</v>
      </c>
      <c r="E88" s="35"/>
      <c r="F88" s="35"/>
      <c r="G88" s="35"/>
      <c r="H88" s="35"/>
      <c r="I88" s="35"/>
      <c r="J88" s="35"/>
      <c r="K88" s="35"/>
      <c r="L88" s="35"/>
    </row>
    <row r="89" customFormat="false" ht="21.75" hidden="false" customHeight="true" outlineLevel="0" collapsed="false">
      <c r="A89" s="10" t="s">
        <v>685</v>
      </c>
      <c r="B89" s="11" t="s">
        <v>671</v>
      </c>
      <c r="C89" s="15"/>
      <c r="D89" s="35" t="s">
        <v>686</v>
      </c>
      <c r="E89" s="35"/>
      <c r="F89" s="35"/>
      <c r="G89" s="35"/>
      <c r="H89" s="35"/>
      <c r="I89" s="35"/>
      <c r="J89" s="35"/>
      <c r="K89" s="35"/>
      <c r="L89" s="35"/>
    </row>
    <row r="90" customFormat="false" ht="21.75" hidden="false" customHeight="true" outlineLevel="0" collapsed="false">
      <c r="A90" s="10" t="s">
        <v>687</v>
      </c>
      <c r="B90" s="11" t="s">
        <v>671</v>
      </c>
      <c r="C90" s="15"/>
      <c r="D90" s="35" t="s">
        <v>688</v>
      </c>
      <c r="E90" s="35"/>
      <c r="F90" s="35"/>
      <c r="G90" s="35"/>
      <c r="H90" s="35"/>
      <c r="I90" s="35"/>
      <c r="J90" s="35"/>
      <c r="K90" s="35"/>
      <c r="L90" s="35"/>
    </row>
    <row r="91" customFormat="false" ht="21.75" hidden="false" customHeight="true" outlineLevel="0" collapsed="false">
      <c r="A91" s="10" t="s">
        <v>689</v>
      </c>
      <c r="B91" s="11" t="s">
        <v>674</v>
      </c>
      <c r="C91" s="15"/>
      <c r="D91" s="35" t="s">
        <v>690</v>
      </c>
      <c r="E91" s="35"/>
      <c r="F91" s="35"/>
      <c r="G91" s="35"/>
      <c r="H91" s="35"/>
      <c r="I91" s="35"/>
      <c r="J91" s="35"/>
      <c r="K91" s="35"/>
      <c r="L91" s="35"/>
    </row>
    <row r="92" customFormat="false" ht="21.75" hidden="false" customHeight="true" outlineLevel="0" collapsed="false">
      <c r="A92" s="10" t="s">
        <v>691</v>
      </c>
      <c r="B92" s="11" t="s">
        <v>671</v>
      </c>
      <c r="C92" s="15"/>
      <c r="D92" s="35"/>
      <c r="E92" s="35"/>
      <c r="F92" s="35"/>
      <c r="G92" s="35"/>
      <c r="H92" s="35"/>
      <c r="I92" s="35"/>
      <c r="J92" s="35"/>
      <c r="K92" s="35"/>
      <c r="L92" s="35"/>
    </row>
    <row r="93" customFormat="false" ht="21.75" hidden="false" customHeight="true" outlineLevel="0" collapsed="false">
      <c r="A93" s="10" t="s">
        <v>692</v>
      </c>
      <c r="B93" s="11" t="s">
        <v>671</v>
      </c>
      <c r="C93" s="15"/>
      <c r="D93" s="35" t="s">
        <v>693</v>
      </c>
      <c r="E93" s="35"/>
      <c r="F93" s="35"/>
      <c r="G93" s="35"/>
      <c r="H93" s="35"/>
      <c r="I93" s="35"/>
      <c r="J93" s="35"/>
      <c r="K93" s="35"/>
      <c r="L93" s="35"/>
    </row>
    <row r="94" customFormat="false" ht="21.75" hidden="false" customHeight="true" outlineLevel="0" collapsed="false">
      <c r="A94" s="10" t="s">
        <v>694</v>
      </c>
      <c r="B94" s="11"/>
      <c r="C94" s="15"/>
      <c r="D94" s="35"/>
      <c r="E94" s="35"/>
      <c r="F94" s="35"/>
      <c r="G94" s="35"/>
      <c r="H94" s="35"/>
      <c r="I94" s="35"/>
      <c r="J94" s="35"/>
      <c r="K94" s="35"/>
      <c r="L94" s="35"/>
    </row>
    <row r="95" customFormat="false" ht="15" hidden="false" customHeight="false" outlineLevel="0" collapsed="false">
      <c r="A95" s="29" t="s">
        <v>695</v>
      </c>
      <c r="B95" s="32"/>
      <c r="C95" s="28" t="n">
        <f aca="false">SUM(C83:C94)</f>
        <v>0</v>
      </c>
      <c r="D95" s="32"/>
      <c r="E95" s="32"/>
      <c r="F95" s="32"/>
      <c r="G95" s="32"/>
      <c r="H95" s="32"/>
      <c r="I95" s="32"/>
      <c r="J95" s="32"/>
      <c r="K95" s="32"/>
      <c r="L95" s="32"/>
    </row>
    <row r="96" customFormat="false" ht="27.75" hidden="false" customHeight="true" outlineLevel="0" collapsed="false">
      <c r="A96" s="4" t="s">
        <v>696</v>
      </c>
      <c r="B96" s="4" t="s">
        <v>212</v>
      </c>
      <c r="C96" s="4" t="s">
        <v>257</v>
      </c>
      <c r="D96" s="4" t="s">
        <v>395</v>
      </c>
      <c r="E96" s="4"/>
      <c r="F96" s="4"/>
      <c r="G96" s="4"/>
      <c r="H96" s="4"/>
      <c r="I96" s="4"/>
      <c r="J96" s="4"/>
      <c r="K96" s="4"/>
      <c r="L96" s="4"/>
    </row>
    <row r="97" customFormat="false" ht="24" hidden="false" customHeight="true" outlineLevel="0" collapsed="false">
      <c r="A97" s="10" t="s">
        <v>697</v>
      </c>
      <c r="B97" s="14"/>
      <c r="C97" s="12" t="s">
        <v>567</v>
      </c>
      <c r="D97" s="35" t="s">
        <v>698</v>
      </c>
      <c r="E97" s="35"/>
      <c r="F97" s="35"/>
      <c r="G97" s="35"/>
      <c r="H97" s="35"/>
      <c r="I97" s="35"/>
      <c r="J97" s="35"/>
      <c r="K97" s="35"/>
      <c r="L97" s="35"/>
    </row>
    <row r="98" customFormat="false" ht="24" hidden="false" customHeight="true" outlineLevel="0" collapsed="false">
      <c r="A98" s="10" t="s">
        <v>699</v>
      </c>
      <c r="B98" s="31" t="n">
        <f aca="false">IFERROR(C95/B97,0)</f>
        <v>0</v>
      </c>
      <c r="C98" s="12" t="s">
        <v>639</v>
      </c>
      <c r="D98" s="35" t="s">
        <v>700</v>
      </c>
      <c r="E98" s="35"/>
      <c r="F98" s="35"/>
      <c r="G98" s="35"/>
      <c r="H98" s="35"/>
      <c r="I98" s="35"/>
      <c r="J98" s="35"/>
      <c r="K98" s="35"/>
      <c r="L98" s="35"/>
    </row>
    <row r="99" customFormat="false" ht="24" hidden="false" customHeight="true" outlineLevel="0" collapsed="false">
      <c r="A99" s="10" t="s">
        <v>701</v>
      </c>
      <c r="B99" s="31" t="n">
        <f aca="false">IFERROR(B98*$B$14/$B$10,0)</f>
        <v>0</v>
      </c>
      <c r="C99" s="12" t="s">
        <v>273</v>
      </c>
      <c r="D99" s="35" t="s">
        <v>702</v>
      </c>
      <c r="E99" s="35"/>
      <c r="F99" s="35"/>
      <c r="G99" s="35"/>
      <c r="H99" s="35"/>
      <c r="I99" s="35"/>
      <c r="J99" s="35"/>
      <c r="K99" s="35"/>
      <c r="L99" s="35"/>
    </row>
    <row r="100" customFormat="false" ht="24" hidden="false" customHeight="true" outlineLevel="0" collapsed="false">
      <c r="A100" s="10" t="s">
        <v>703</v>
      </c>
      <c r="B100" s="27"/>
      <c r="C100" s="12" t="s">
        <v>273</v>
      </c>
      <c r="D100" s="35" t="s">
        <v>704</v>
      </c>
      <c r="E100" s="35"/>
      <c r="F100" s="35"/>
      <c r="G100" s="35"/>
      <c r="H100" s="35"/>
      <c r="I100" s="35"/>
      <c r="J100" s="35"/>
      <c r="K100" s="35"/>
      <c r="L100" s="35"/>
    </row>
    <row r="101" customFormat="false" ht="24" hidden="false" customHeight="true" outlineLevel="0" collapsed="false">
      <c r="A101" s="38" t="s">
        <v>705</v>
      </c>
      <c r="B101" s="31" t="n">
        <f aca="false">B99+B100</f>
        <v>0</v>
      </c>
      <c r="C101" s="12" t="s">
        <v>273</v>
      </c>
      <c r="D101" s="35" t="s">
        <v>706</v>
      </c>
      <c r="E101" s="35"/>
      <c r="F101" s="35"/>
      <c r="G101" s="35"/>
      <c r="H101" s="35"/>
      <c r="I101" s="35"/>
      <c r="J101" s="35"/>
      <c r="K101" s="35"/>
      <c r="L101" s="35"/>
    </row>
    <row r="103" customFormat="false" ht="19.5" hidden="false" customHeight="true" outlineLevel="0" collapsed="false">
      <c r="A103" s="3" t="s">
        <v>707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customFormat="false" ht="15.75" hidden="false" customHeight="true" outlineLevel="0" collapsed="false">
      <c r="A104" s="39" t="s">
        <v>708</v>
      </c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</row>
    <row r="105" customFormat="false" ht="27.75" hidden="false" customHeight="true" outlineLevel="0" collapsed="false">
      <c r="A105" s="4" t="s">
        <v>42</v>
      </c>
      <c r="B105" s="4" t="s">
        <v>709</v>
      </c>
      <c r="C105" s="4" t="s">
        <v>710</v>
      </c>
      <c r="D105" s="4" t="s">
        <v>257</v>
      </c>
      <c r="E105" s="4" t="s">
        <v>711</v>
      </c>
      <c r="F105" s="4"/>
      <c r="G105" s="4"/>
      <c r="H105" s="4"/>
      <c r="I105" s="4"/>
      <c r="J105" s="4" t="s">
        <v>583</v>
      </c>
      <c r="K105" s="4" t="s">
        <v>584</v>
      </c>
      <c r="L105" s="4" t="s">
        <v>511</v>
      </c>
    </row>
    <row r="106" customFormat="false" ht="19.4" hidden="false" customHeight="false" outlineLevel="0" collapsed="false">
      <c r="A106" s="10" t="s">
        <v>712</v>
      </c>
      <c r="B106" s="12" t="s">
        <v>713</v>
      </c>
      <c r="C106" s="15"/>
      <c r="D106" s="12" t="s">
        <v>714</v>
      </c>
      <c r="E106" s="12" t="s">
        <v>715</v>
      </c>
      <c r="J106" s="31" t="n">
        <f aca="false">IFERROR(C106/$B$10,0)</f>
        <v>0</v>
      </c>
      <c r="K106" s="30" t="str">
        <f aca="false">IF(J106="","",IFERROR(J106/$B$123,""))</f>
        <v/>
      </c>
      <c r="L106" s="11"/>
    </row>
    <row r="107" customFormat="false" ht="19.4" hidden="false" customHeight="false" outlineLevel="0" collapsed="false">
      <c r="A107" s="10" t="s">
        <v>716</v>
      </c>
      <c r="B107" s="12" t="s">
        <v>717</v>
      </c>
      <c r="C107" s="14"/>
      <c r="D107" s="12" t="s">
        <v>718</v>
      </c>
      <c r="E107" s="12" t="s">
        <v>719</v>
      </c>
      <c r="J107" s="31" t="n">
        <f aca="false">IFERROR(C107/$B$10*(J33+J49),0)</f>
        <v>0</v>
      </c>
      <c r="K107" s="30" t="str">
        <f aca="false">IF(J107="","",IFERROR(J107/$B$123,""))</f>
        <v/>
      </c>
      <c r="L107" s="11"/>
    </row>
    <row r="108" customFormat="false" ht="15" hidden="false" customHeight="false" outlineLevel="0" collapsed="false">
      <c r="A108" s="10" t="s">
        <v>58</v>
      </c>
      <c r="B108" s="12" t="s">
        <v>720</v>
      </c>
      <c r="C108" s="15"/>
      <c r="D108" s="12" t="s">
        <v>721</v>
      </c>
      <c r="E108" s="14"/>
      <c r="J108" s="31" t="n">
        <f aca="false">IFERROR(C108/E108,0)</f>
        <v>0</v>
      </c>
      <c r="K108" s="30" t="str">
        <f aca="false">IF(J108="","",IFERROR(J108/$B$123,""))</f>
        <v/>
      </c>
      <c r="L108" s="11" t="s">
        <v>722</v>
      </c>
    </row>
    <row r="109" customFormat="false" ht="28.35" hidden="false" customHeight="false" outlineLevel="0" collapsed="false">
      <c r="A109" s="10" t="s">
        <v>64</v>
      </c>
      <c r="B109" s="12" t="s">
        <v>723</v>
      </c>
      <c r="C109" s="16"/>
      <c r="D109" s="12" t="s">
        <v>284</v>
      </c>
      <c r="E109" s="12" t="s">
        <v>724</v>
      </c>
      <c r="J109" s="31" t="n">
        <f aca="false">IFERROR(C109*$B$129,0)</f>
        <v>0</v>
      </c>
      <c r="K109" s="30" t="str">
        <f aca="false">IF(J109="","",IFERROR(J109/$B$123,""))</f>
        <v/>
      </c>
      <c r="L109" s="11"/>
    </row>
    <row r="110" customFormat="false" ht="19.4" hidden="false" customHeight="false" outlineLevel="0" collapsed="false">
      <c r="A110" s="10" t="s">
        <v>725</v>
      </c>
      <c r="B110" s="12" t="s">
        <v>726</v>
      </c>
      <c r="C110" s="27"/>
      <c r="D110" s="12" t="s">
        <v>273</v>
      </c>
      <c r="E110" s="12" t="s">
        <v>727</v>
      </c>
      <c r="J110" s="31" t="n">
        <f aca="false">C110</f>
        <v>0</v>
      </c>
      <c r="K110" s="30" t="str">
        <f aca="false">IF(J110="","",IFERROR(J110/$B$123,""))</f>
        <v/>
      </c>
      <c r="L110" s="11"/>
    </row>
    <row r="111" customFormat="false" ht="19.4" hidden="false" customHeight="false" outlineLevel="0" collapsed="false">
      <c r="A111" s="10" t="s">
        <v>728</v>
      </c>
      <c r="B111" s="12" t="s">
        <v>729</v>
      </c>
      <c r="C111" s="16"/>
      <c r="D111" s="12" t="s">
        <v>284</v>
      </c>
      <c r="E111" s="12" t="s">
        <v>730</v>
      </c>
      <c r="J111" s="31" t="n">
        <f aca="false">IFERROR(C111*(J33+J49),0)</f>
        <v>0</v>
      </c>
      <c r="K111" s="30" t="str">
        <f aca="false">IF(J111="","",IFERROR(J111/$B$123,""))</f>
        <v/>
      </c>
      <c r="L111" s="11"/>
    </row>
    <row r="112" customFormat="false" ht="15" hidden="false" customHeight="false" outlineLevel="0" collapsed="false">
      <c r="A112" s="10" t="s">
        <v>62</v>
      </c>
      <c r="B112" s="12" t="s">
        <v>731</v>
      </c>
      <c r="C112" s="16"/>
      <c r="D112" s="12" t="s">
        <v>732</v>
      </c>
      <c r="E112" s="14"/>
      <c r="J112" s="31" t="n">
        <f aca="false">IFERROR((J33+J49)*C112*E112/360,0)</f>
        <v>0</v>
      </c>
      <c r="K112" s="30" t="str">
        <f aca="false">IF(J112="","",IFERROR(J112/$B$123,""))</f>
        <v/>
      </c>
      <c r="L112" s="11" t="s">
        <v>733</v>
      </c>
    </row>
    <row r="113" customFormat="false" ht="15" hidden="false" customHeight="false" outlineLevel="0" collapsed="false">
      <c r="A113" s="10" t="s">
        <v>734</v>
      </c>
      <c r="B113" s="12" t="s">
        <v>726</v>
      </c>
      <c r="C113" s="27"/>
      <c r="D113" s="12" t="s">
        <v>273</v>
      </c>
      <c r="E113" s="11"/>
      <c r="J113" s="31" t="n">
        <f aca="false">C113</f>
        <v>0</v>
      </c>
      <c r="K113" s="30" t="str">
        <f aca="false">IF(J113="","",IFERROR(J113/$B$123,""))</f>
        <v/>
      </c>
      <c r="L113" s="11"/>
    </row>
    <row r="114" customFormat="false" ht="15" hidden="false" customHeight="false" outlineLevel="0" collapsed="false">
      <c r="A114" s="29" t="s">
        <v>735</v>
      </c>
      <c r="B114" s="32"/>
      <c r="C114" s="32"/>
      <c r="D114" s="32"/>
      <c r="E114" s="32"/>
      <c r="F114" s="32"/>
      <c r="G114" s="32"/>
      <c r="H114" s="32"/>
      <c r="I114" s="32"/>
      <c r="J114" s="31" t="n">
        <f aca="false">SUM(J106:J113)</f>
        <v>0</v>
      </c>
      <c r="K114" s="40" t="n">
        <f aca="false">IFERROR(J114/$B$123,0)</f>
        <v>0</v>
      </c>
      <c r="L114" s="32"/>
    </row>
    <row r="116" customFormat="false" ht="19.5" hidden="false" customHeight="true" outlineLevel="0" collapsed="false">
      <c r="A116" s="3" t="s">
        <v>736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customFormat="false" ht="27.75" hidden="false" customHeight="true" outlineLevel="0" collapsed="false">
      <c r="A117" s="4" t="s">
        <v>737</v>
      </c>
      <c r="B117" s="4" t="s">
        <v>583</v>
      </c>
      <c r="C117" s="4" t="s">
        <v>738</v>
      </c>
      <c r="D117" s="4" t="s">
        <v>739</v>
      </c>
      <c r="E117" s="4" t="s">
        <v>740</v>
      </c>
      <c r="F117" s="4"/>
      <c r="G117" s="4"/>
      <c r="H117" s="4"/>
      <c r="I117" s="4"/>
      <c r="J117" s="4"/>
      <c r="K117" s="4"/>
      <c r="L117" s="4"/>
    </row>
    <row r="118" customFormat="false" ht="24" hidden="false" customHeight="true" outlineLevel="0" collapsed="false">
      <c r="A118" s="10" t="s">
        <v>741</v>
      </c>
      <c r="B118" s="18" t="n">
        <f aca="false">J33</f>
        <v>0</v>
      </c>
      <c r="C118" s="30" t="n">
        <f aca="false">IFERROR(B118/$B$123,0)</f>
        <v>0</v>
      </c>
      <c r="D118" s="28" t="n">
        <f aca="false">B118*$B$10</f>
        <v>0</v>
      </c>
      <c r="E118" s="35" t="s">
        <v>742</v>
      </c>
      <c r="F118" s="35"/>
      <c r="G118" s="35"/>
      <c r="H118" s="35"/>
      <c r="I118" s="35"/>
      <c r="J118" s="35"/>
      <c r="K118" s="35"/>
      <c r="L118" s="35"/>
    </row>
    <row r="119" customFormat="false" ht="24" hidden="false" customHeight="true" outlineLevel="0" collapsed="false">
      <c r="A119" s="10" t="s">
        <v>743</v>
      </c>
      <c r="B119" s="18" t="n">
        <f aca="false">J49</f>
        <v>0</v>
      </c>
      <c r="C119" s="30" t="n">
        <f aca="false">IFERROR(B119/$B$123,0)</f>
        <v>0</v>
      </c>
      <c r="D119" s="28" t="n">
        <f aca="false">B119*$B$10</f>
        <v>0</v>
      </c>
      <c r="E119" s="35" t="s">
        <v>744</v>
      </c>
      <c r="F119" s="35"/>
      <c r="G119" s="35"/>
      <c r="H119" s="35"/>
      <c r="I119" s="35"/>
      <c r="J119" s="35"/>
      <c r="K119" s="35"/>
      <c r="L119" s="35"/>
    </row>
    <row r="120" customFormat="false" ht="24" hidden="false" customHeight="true" outlineLevel="0" collapsed="false">
      <c r="A120" s="10" t="s">
        <v>745</v>
      </c>
      <c r="B120" s="18" t="n">
        <f aca="false">J77</f>
        <v>0</v>
      </c>
      <c r="C120" s="30" t="n">
        <f aca="false">IFERROR(B120/$B$123,0)</f>
        <v>0</v>
      </c>
      <c r="D120" s="28" t="n">
        <f aca="false">B120*$B$10</f>
        <v>0</v>
      </c>
      <c r="E120" s="35" t="s">
        <v>746</v>
      </c>
      <c r="F120" s="35"/>
      <c r="G120" s="35"/>
      <c r="H120" s="35"/>
      <c r="I120" s="35"/>
      <c r="J120" s="35"/>
      <c r="K120" s="35"/>
      <c r="L120" s="35"/>
    </row>
    <row r="121" customFormat="false" ht="24" hidden="false" customHeight="true" outlineLevel="0" collapsed="false">
      <c r="A121" s="10" t="s">
        <v>747</v>
      </c>
      <c r="B121" s="18" t="n">
        <f aca="false">B101</f>
        <v>0</v>
      </c>
      <c r="C121" s="30" t="n">
        <f aca="false">IFERROR(B121/$B$123,0)</f>
        <v>0</v>
      </c>
      <c r="D121" s="28" t="n">
        <f aca="false">B121*$B$10</f>
        <v>0</v>
      </c>
      <c r="E121" s="35" t="s">
        <v>748</v>
      </c>
      <c r="F121" s="35"/>
      <c r="G121" s="35"/>
      <c r="H121" s="35"/>
      <c r="I121" s="35"/>
      <c r="J121" s="35"/>
      <c r="K121" s="35"/>
      <c r="L121" s="35"/>
    </row>
    <row r="122" customFormat="false" ht="24" hidden="false" customHeight="true" outlineLevel="0" collapsed="false">
      <c r="A122" s="10" t="s">
        <v>749</v>
      </c>
      <c r="B122" s="18" t="n">
        <f aca="false">J114</f>
        <v>0</v>
      </c>
      <c r="C122" s="30" t="n">
        <f aca="false">IFERROR(B122/$B$123,0)</f>
        <v>0</v>
      </c>
      <c r="D122" s="28" t="n">
        <f aca="false">B122*$B$10</f>
        <v>0</v>
      </c>
      <c r="E122" s="35" t="s">
        <v>750</v>
      </c>
      <c r="F122" s="35"/>
      <c r="G122" s="35"/>
      <c r="H122" s="35"/>
      <c r="I122" s="35"/>
      <c r="J122" s="35"/>
      <c r="K122" s="35"/>
      <c r="L122" s="35"/>
    </row>
    <row r="123" customFormat="false" ht="24" hidden="false" customHeight="true" outlineLevel="0" collapsed="false">
      <c r="A123" s="41" t="s">
        <v>751</v>
      </c>
      <c r="B123" s="31" t="n">
        <f aca="false">SUM(B118:B122)</f>
        <v>0</v>
      </c>
      <c r="C123" s="30" t="n">
        <f aca="false">IF(B123=0,0,1)</f>
        <v>0</v>
      </c>
      <c r="D123" s="28" t="n">
        <f aca="false">B123*$B$10</f>
        <v>0</v>
      </c>
      <c r="E123" s="35" t="s">
        <v>752</v>
      </c>
      <c r="F123" s="35"/>
      <c r="G123" s="35"/>
      <c r="H123" s="35"/>
      <c r="I123" s="35"/>
      <c r="J123" s="35"/>
      <c r="K123" s="35"/>
      <c r="L123" s="35"/>
    </row>
    <row r="125" customFormat="false" ht="19.5" hidden="false" customHeight="true" outlineLevel="0" collapsed="false">
      <c r="A125" s="3" t="s">
        <v>753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customFormat="false" ht="15.75" hidden="false" customHeight="true" outlineLevel="0" collapsed="false">
      <c r="A126" s="42" t="s">
        <v>754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</row>
    <row r="127" customFormat="false" ht="15" hidden="false" customHeight="fals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</row>
    <row r="128" customFormat="false" ht="27.75" hidden="false" customHeight="true" outlineLevel="0" collapsed="false">
      <c r="A128" s="4" t="s">
        <v>42</v>
      </c>
      <c r="B128" s="4" t="s">
        <v>212</v>
      </c>
      <c r="C128" s="4" t="s">
        <v>257</v>
      </c>
      <c r="D128" s="4" t="s">
        <v>395</v>
      </c>
      <c r="E128" s="4"/>
      <c r="F128" s="4"/>
      <c r="G128" s="4"/>
      <c r="H128" s="4"/>
      <c r="I128" s="4"/>
      <c r="J128" s="4"/>
      <c r="K128" s="4"/>
      <c r="L128" s="4"/>
    </row>
    <row r="129" customFormat="false" ht="24" hidden="false" customHeight="true" outlineLevel="0" collapsed="false">
      <c r="A129" s="10" t="s">
        <v>755</v>
      </c>
      <c r="B129" s="27"/>
      <c r="C129" s="12" t="s">
        <v>273</v>
      </c>
      <c r="D129" s="35" t="s">
        <v>756</v>
      </c>
      <c r="E129" s="35"/>
      <c r="F129" s="35"/>
      <c r="G129" s="35"/>
      <c r="H129" s="35"/>
      <c r="I129" s="35"/>
      <c r="J129" s="35"/>
      <c r="K129" s="35"/>
      <c r="L129" s="35"/>
    </row>
    <row r="130" customFormat="false" ht="24" hidden="false" customHeight="true" outlineLevel="0" collapsed="false">
      <c r="A130" s="10" t="s">
        <v>757</v>
      </c>
      <c r="B130" s="16"/>
      <c r="C130" s="12" t="s">
        <v>284</v>
      </c>
      <c r="D130" s="35" t="s">
        <v>758</v>
      </c>
      <c r="E130" s="35"/>
      <c r="F130" s="35"/>
      <c r="G130" s="35"/>
      <c r="H130" s="35"/>
      <c r="I130" s="35"/>
      <c r="J130" s="35"/>
      <c r="K130" s="35"/>
      <c r="L130" s="35"/>
    </row>
    <row r="131" customFormat="false" ht="24" hidden="false" customHeight="true" outlineLevel="0" collapsed="false">
      <c r="A131" s="10" t="s">
        <v>759</v>
      </c>
      <c r="B131" s="16"/>
      <c r="C131" s="12" t="s">
        <v>284</v>
      </c>
      <c r="D131" s="35" t="s">
        <v>760</v>
      </c>
      <c r="E131" s="35"/>
      <c r="F131" s="35"/>
      <c r="G131" s="35"/>
      <c r="H131" s="35"/>
      <c r="I131" s="35"/>
      <c r="J131" s="35"/>
      <c r="K131" s="35"/>
      <c r="L131" s="35"/>
    </row>
    <row r="132" customFormat="false" ht="24" hidden="false" customHeight="true" outlineLevel="0" collapsed="false">
      <c r="A132" s="10" t="s">
        <v>761</v>
      </c>
      <c r="B132" s="16" t="n">
        <v>0.0165</v>
      </c>
      <c r="C132" s="12" t="s">
        <v>284</v>
      </c>
      <c r="D132" s="35" t="s">
        <v>762</v>
      </c>
      <c r="E132" s="35"/>
      <c r="F132" s="35"/>
      <c r="G132" s="35"/>
      <c r="H132" s="35"/>
      <c r="I132" s="35"/>
      <c r="J132" s="35"/>
      <c r="K132" s="35"/>
      <c r="L132" s="35"/>
    </row>
    <row r="133" customFormat="false" ht="24" hidden="false" customHeight="true" outlineLevel="0" collapsed="false">
      <c r="A133" s="10" t="s">
        <v>763</v>
      </c>
      <c r="B133" s="16" t="n">
        <v>0.076</v>
      </c>
      <c r="C133" s="12" t="s">
        <v>284</v>
      </c>
      <c r="D133" s="35" t="s">
        <v>762</v>
      </c>
      <c r="E133" s="35"/>
      <c r="F133" s="35"/>
      <c r="G133" s="35"/>
      <c r="H133" s="35"/>
      <c r="I133" s="35"/>
      <c r="J133" s="35"/>
      <c r="K133" s="35"/>
      <c r="L133" s="35"/>
    </row>
    <row r="134" customFormat="false" ht="24" hidden="false" customHeight="true" outlineLevel="0" collapsed="false">
      <c r="A134" s="10" t="s">
        <v>764</v>
      </c>
      <c r="B134" s="16"/>
      <c r="C134" s="12" t="s">
        <v>284</v>
      </c>
      <c r="D134" s="35" t="s">
        <v>765</v>
      </c>
      <c r="E134" s="35"/>
      <c r="F134" s="35"/>
      <c r="G134" s="35"/>
      <c r="H134" s="35"/>
      <c r="I134" s="35"/>
      <c r="J134" s="35"/>
      <c r="K134" s="35"/>
      <c r="L134" s="35"/>
    </row>
    <row r="135" customFormat="false" ht="24" hidden="false" customHeight="true" outlineLevel="0" collapsed="false">
      <c r="A135" s="10" t="s">
        <v>766</v>
      </c>
      <c r="B135" s="16"/>
      <c r="C135" s="12" t="s">
        <v>284</v>
      </c>
      <c r="D135" s="35" t="s">
        <v>767</v>
      </c>
      <c r="E135" s="35"/>
      <c r="F135" s="35"/>
      <c r="G135" s="35"/>
      <c r="H135" s="35"/>
      <c r="I135" s="35"/>
      <c r="J135" s="35"/>
      <c r="K135" s="35"/>
      <c r="L135" s="35"/>
    </row>
    <row r="136" customFormat="false" ht="24" hidden="false" customHeight="true" outlineLevel="0" collapsed="false">
      <c r="A136" s="10" t="s">
        <v>768</v>
      </c>
      <c r="B136" s="16"/>
      <c r="C136" s="12" t="s">
        <v>284</v>
      </c>
      <c r="D136" s="35" t="s">
        <v>769</v>
      </c>
      <c r="E136" s="35"/>
      <c r="F136" s="35"/>
      <c r="G136" s="35"/>
      <c r="H136" s="35"/>
      <c r="I136" s="35"/>
      <c r="J136" s="35"/>
      <c r="K136" s="35"/>
      <c r="L136" s="35"/>
    </row>
    <row r="137" customFormat="false" ht="24" hidden="false" customHeight="true" outlineLevel="0" collapsed="false">
      <c r="A137" s="10" t="s">
        <v>770</v>
      </c>
      <c r="B137" s="31" t="n">
        <f aca="false">B129*B130</f>
        <v>0</v>
      </c>
      <c r="C137" s="12" t="s">
        <v>273</v>
      </c>
      <c r="D137" s="35" t="s">
        <v>771</v>
      </c>
      <c r="E137" s="35"/>
      <c r="F137" s="35"/>
      <c r="G137" s="35"/>
      <c r="H137" s="35"/>
      <c r="I137" s="35"/>
      <c r="J137" s="35"/>
      <c r="K137" s="35"/>
      <c r="L137" s="35"/>
    </row>
    <row r="138" customFormat="false" ht="24" hidden="false" customHeight="true" outlineLevel="0" collapsed="false">
      <c r="A138" s="10" t="s">
        <v>772</v>
      </c>
      <c r="B138" s="31" t="n">
        <f aca="false">(B129+B137)*(1+B134)</f>
        <v>0</v>
      </c>
      <c r="C138" s="12" t="s">
        <v>273</v>
      </c>
      <c r="D138" s="35" t="s">
        <v>773</v>
      </c>
      <c r="E138" s="35"/>
      <c r="F138" s="35"/>
      <c r="G138" s="35"/>
      <c r="H138" s="35"/>
      <c r="I138" s="35"/>
      <c r="J138" s="35"/>
      <c r="K138" s="35"/>
      <c r="L138" s="35"/>
    </row>
    <row r="139" customFormat="false" ht="24" hidden="false" customHeight="true" outlineLevel="0" collapsed="false">
      <c r="A139" s="10" t="s">
        <v>774</v>
      </c>
      <c r="B139" s="31" t="n">
        <f aca="false">MAX(0,B138*B135-B129*B131)</f>
        <v>0</v>
      </c>
      <c r="C139" s="12" t="s">
        <v>273</v>
      </c>
      <c r="D139" s="35" t="s">
        <v>775</v>
      </c>
      <c r="E139" s="35"/>
      <c r="F139" s="35"/>
      <c r="G139" s="35"/>
      <c r="H139" s="35"/>
      <c r="I139" s="35"/>
      <c r="J139" s="35"/>
      <c r="K139" s="35"/>
      <c r="L139" s="35"/>
    </row>
    <row r="140" customFormat="false" ht="24" hidden="false" customHeight="true" outlineLevel="0" collapsed="false">
      <c r="A140" s="38" t="s">
        <v>776</v>
      </c>
      <c r="B140" s="31" t="n">
        <f aca="false">B129+B137+B139</f>
        <v>0</v>
      </c>
      <c r="C140" s="12" t="s">
        <v>273</v>
      </c>
      <c r="D140" s="35" t="s">
        <v>777</v>
      </c>
      <c r="E140" s="35"/>
      <c r="F140" s="35"/>
      <c r="G140" s="35"/>
      <c r="H140" s="35"/>
      <c r="I140" s="35"/>
      <c r="J140" s="35"/>
      <c r="K140" s="35"/>
      <c r="L140" s="35"/>
    </row>
    <row r="142" customFormat="false" ht="27.75" hidden="false" customHeight="true" outlineLevel="0" collapsed="false">
      <c r="A142" s="4" t="s">
        <v>778</v>
      </c>
      <c r="B142" s="4" t="s">
        <v>212</v>
      </c>
      <c r="C142" s="4" t="s">
        <v>257</v>
      </c>
      <c r="D142" s="4" t="s">
        <v>395</v>
      </c>
      <c r="E142" s="4"/>
      <c r="F142" s="4"/>
      <c r="G142" s="4"/>
      <c r="H142" s="4"/>
      <c r="I142" s="4"/>
      <c r="J142" s="4"/>
      <c r="K142" s="4"/>
      <c r="L142" s="4"/>
    </row>
    <row r="143" customFormat="false" ht="24" hidden="false" customHeight="true" outlineLevel="0" collapsed="false">
      <c r="A143" s="10" t="s">
        <v>779</v>
      </c>
      <c r="B143" s="31" t="n">
        <f aca="false">B129</f>
        <v>0</v>
      </c>
      <c r="C143" s="12" t="s">
        <v>273</v>
      </c>
      <c r="D143" s="35" t="s">
        <v>780</v>
      </c>
      <c r="E143" s="35"/>
      <c r="F143" s="35"/>
      <c r="G143" s="35"/>
      <c r="H143" s="35"/>
      <c r="I143" s="35"/>
      <c r="J143" s="35"/>
      <c r="K143" s="35"/>
      <c r="L143" s="35"/>
    </row>
    <row r="144" customFormat="false" ht="24" hidden="false" customHeight="true" outlineLevel="0" collapsed="false">
      <c r="A144" s="10" t="s">
        <v>781</v>
      </c>
      <c r="B144" s="31" t="n">
        <f aca="false">-B129*B131</f>
        <v>-0</v>
      </c>
      <c r="C144" s="12" t="s">
        <v>273</v>
      </c>
      <c r="D144" s="35" t="s">
        <v>782</v>
      </c>
      <c r="E144" s="35"/>
      <c r="F144" s="35"/>
      <c r="G144" s="35"/>
      <c r="H144" s="35"/>
      <c r="I144" s="35"/>
      <c r="J144" s="35"/>
      <c r="K144" s="35"/>
      <c r="L144" s="35"/>
    </row>
    <row r="145" customFormat="false" ht="24" hidden="false" customHeight="true" outlineLevel="0" collapsed="false">
      <c r="A145" s="10" t="s">
        <v>783</v>
      </c>
      <c r="B145" s="31" t="n">
        <f aca="false">-B129*B132</f>
        <v>-0</v>
      </c>
      <c r="C145" s="12" t="s">
        <v>273</v>
      </c>
      <c r="D145" s="35" t="s">
        <v>782</v>
      </c>
      <c r="E145" s="35"/>
      <c r="F145" s="35"/>
      <c r="G145" s="35"/>
      <c r="H145" s="35"/>
      <c r="I145" s="35"/>
      <c r="J145" s="35"/>
      <c r="K145" s="35"/>
      <c r="L145" s="35"/>
    </row>
    <row r="146" customFormat="false" ht="24" hidden="false" customHeight="true" outlineLevel="0" collapsed="false">
      <c r="A146" s="10" t="s">
        <v>784</v>
      </c>
      <c r="B146" s="31" t="n">
        <f aca="false">-B129*B133</f>
        <v>-0</v>
      </c>
      <c r="C146" s="12" t="s">
        <v>273</v>
      </c>
      <c r="D146" s="35" t="s">
        <v>782</v>
      </c>
      <c r="E146" s="35"/>
      <c r="F146" s="35"/>
      <c r="G146" s="35"/>
      <c r="H146" s="35"/>
      <c r="I146" s="35"/>
      <c r="J146" s="35"/>
      <c r="K146" s="35"/>
      <c r="L146" s="35"/>
    </row>
    <row r="147" customFormat="false" ht="24" hidden="false" customHeight="true" outlineLevel="0" collapsed="false">
      <c r="A147" s="10" t="s">
        <v>785</v>
      </c>
      <c r="B147" s="31" t="n">
        <f aca="false">-B129*B136</f>
        <v>-0</v>
      </c>
      <c r="C147" s="12" t="s">
        <v>273</v>
      </c>
      <c r="D147" s="35"/>
      <c r="E147" s="35"/>
      <c r="F147" s="35"/>
      <c r="G147" s="35"/>
      <c r="H147" s="35"/>
      <c r="I147" s="35"/>
      <c r="J147" s="35"/>
      <c r="K147" s="35"/>
      <c r="L147" s="35"/>
    </row>
    <row r="148" customFormat="false" ht="24" hidden="false" customHeight="true" outlineLevel="0" collapsed="false">
      <c r="A148" s="38" t="s">
        <v>786</v>
      </c>
      <c r="B148" s="31" t="n">
        <f aca="false">B143+B144+B145+B146+B147</f>
        <v>0</v>
      </c>
      <c r="C148" s="12" t="s">
        <v>273</v>
      </c>
      <c r="D148" s="35" t="s">
        <v>787</v>
      </c>
      <c r="E148" s="35"/>
      <c r="F148" s="35"/>
      <c r="G148" s="35"/>
      <c r="H148" s="35"/>
      <c r="I148" s="35"/>
      <c r="J148" s="35"/>
      <c r="K148" s="35"/>
      <c r="L148" s="35"/>
    </row>
    <row r="149" customFormat="false" ht="24" hidden="false" customHeight="true" outlineLevel="0" collapsed="false">
      <c r="A149" s="10" t="s">
        <v>788</v>
      </c>
      <c r="B149" s="18" t="n">
        <f aca="false">-B123</f>
        <v>-0</v>
      </c>
      <c r="C149" s="12" t="s">
        <v>273</v>
      </c>
      <c r="D149" s="35" t="s">
        <v>789</v>
      </c>
      <c r="E149" s="35"/>
      <c r="F149" s="35"/>
      <c r="G149" s="35"/>
      <c r="H149" s="35"/>
      <c r="I149" s="35"/>
      <c r="J149" s="35"/>
      <c r="K149" s="35"/>
      <c r="L149" s="35"/>
    </row>
    <row r="150" customFormat="false" ht="24" hidden="false" customHeight="true" outlineLevel="0" collapsed="false">
      <c r="A150" s="38" t="s">
        <v>790</v>
      </c>
      <c r="B150" s="31" t="n">
        <f aca="false">B148+B149</f>
        <v>0</v>
      </c>
      <c r="C150" s="12" t="s">
        <v>273</v>
      </c>
      <c r="D150" s="35" t="s">
        <v>791</v>
      </c>
      <c r="E150" s="35"/>
      <c r="F150" s="35"/>
      <c r="G150" s="35"/>
      <c r="H150" s="35"/>
      <c r="I150" s="35"/>
      <c r="J150" s="35"/>
      <c r="K150" s="35"/>
      <c r="L150" s="35"/>
    </row>
    <row r="151" customFormat="false" ht="24" hidden="false" customHeight="true" outlineLevel="0" collapsed="false">
      <c r="A151" s="10" t="s">
        <v>229</v>
      </c>
      <c r="B151" s="30" t="n">
        <f aca="false">IF(B148=0,0,B150/B148)</f>
        <v>0</v>
      </c>
      <c r="C151" s="12" t="s">
        <v>284</v>
      </c>
      <c r="D151" s="35" t="s">
        <v>792</v>
      </c>
      <c r="E151" s="35"/>
      <c r="F151" s="35"/>
      <c r="G151" s="35"/>
      <c r="H151" s="35"/>
      <c r="I151" s="35"/>
      <c r="J151" s="35"/>
      <c r="K151" s="35"/>
      <c r="L151" s="35"/>
    </row>
    <row r="152" customFormat="false" ht="24" hidden="false" customHeight="true" outlineLevel="0" collapsed="false">
      <c r="A152" s="10" t="s">
        <v>793</v>
      </c>
      <c r="B152" s="43" t="n">
        <f aca="false">IF(B123=0,0,B129/B123)</f>
        <v>0</v>
      </c>
      <c r="C152" s="12" t="s">
        <v>794</v>
      </c>
      <c r="D152" s="35" t="s">
        <v>795</v>
      </c>
      <c r="E152" s="35"/>
      <c r="F152" s="35"/>
      <c r="G152" s="35"/>
      <c r="H152" s="35"/>
      <c r="I152" s="35"/>
      <c r="J152" s="35"/>
      <c r="K152" s="35"/>
      <c r="L152" s="35"/>
    </row>
    <row r="154" customFormat="false" ht="27.75" hidden="false" customHeight="true" outlineLevel="0" collapsed="false">
      <c r="A154" s="4" t="s">
        <v>796</v>
      </c>
      <c r="B154" s="4" t="s">
        <v>212</v>
      </c>
      <c r="C154" s="4" t="s">
        <v>257</v>
      </c>
      <c r="D154" s="4" t="s">
        <v>395</v>
      </c>
      <c r="E154" s="4"/>
      <c r="F154" s="4"/>
      <c r="G154" s="4"/>
      <c r="H154" s="4"/>
      <c r="I154" s="4"/>
      <c r="J154" s="4"/>
      <c r="K154" s="4"/>
      <c r="L154" s="4"/>
    </row>
    <row r="155" customFormat="false" ht="24" hidden="false" customHeight="true" outlineLevel="0" collapsed="false">
      <c r="A155" s="10" t="s">
        <v>797</v>
      </c>
      <c r="B155" s="16"/>
      <c r="C155" s="12" t="s">
        <v>284</v>
      </c>
      <c r="D155" s="35" t="s">
        <v>798</v>
      </c>
      <c r="E155" s="35"/>
      <c r="F155" s="35"/>
      <c r="G155" s="35"/>
      <c r="H155" s="35"/>
      <c r="I155" s="35"/>
      <c r="J155" s="35"/>
      <c r="K155" s="35"/>
      <c r="L155" s="35"/>
    </row>
    <row r="156" customFormat="false" ht="24" hidden="false" customHeight="true" outlineLevel="0" collapsed="false">
      <c r="A156" s="10" t="s">
        <v>799</v>
      </c>
      <c r="B156" s="16"/>
      <c r="C156" s="12" t="s">
        <v>284</v>
      </c>
      <c r="D156" s="35" t="s">
        <v>800</v>
      </c>
      <c r="E156" s="35"/>
      <c r="F156" s="35"/>
      <c r="G156" s="35"/>
      <c r="H156" s="35"/>
      <c r="I156" s="35"/>
      <c r="J156" s="35"/>
      <c r="K156" s="35"/>
      <c r="L156" s="35"/>
    </row>
    <row r="157" customFormat="false" ht="24" hidden="false" customHeight="true" outlineLevel="0" collapsed="false">
      <c r="A157" s="10" t="s">
        <v>801</v>
      </c>
      <c r="B157" s="16"/>
      <c r="C157" s="12" t="s">
        <v>284</v>
      </c>
      <c r="D157" s="35" t="s">
        <v>802</v>
      </c>
      <c r="E157" s="35"/>
      <c r="F157" s="35"/>
      <c r="G157" s="35"/>
      <c r="H157" s="35"/>
      <c r="I157" s="35"/>
      <c r="J157" s="35"/>
      <c r="K157" s="35"/>
      <c r="L157" s="35"/>
    </row>
    <row r="158" customFormat="false" ht="24" hidden="false" customHeight="true" outlineLevel="0" collapsed="false">
      <c r="A158" s="10" t="s">
        <v>803</v>
      </c>
      <c r="B158" s="31" t="n">
        <f aca="false">-B129*(B155+B156+B157)</f>
        <v>-0</v>
      </c>
      <c r="C158" s="12" t="s">
        <v>273</v>
      </c>
      <c r="D158" s="35" t="s">
        <v>804</v>
      </c>
      <c r="E158" s="35"/>
      <c r="F158" s="35"/>
      <c r="G158" s="35"/>
      <c r="H158" s="35"/>
      <c r="I158" s="35"/>
      <c r="J158" s="35"/>
      <c r="K158" s="35"/>
      <c r="L158" s="35"/>
    </row>
    <row r="159" customFormat="false" ht="24" hidden="false" customHeight="true" outlineLevel="0" collapsed="false">
      <c r="A159" s="38" t="s">
        <v>805</v>
      </c>
      <c r="B159" s="31" t="n">
        <f aca="false">B150+B158</f>
        <v>0</v>
      </c>
      <c r="C159" s="12" t="s">
        <v>273</v>
      </c>
      <c r="D159" s="35" t="s">
        <v>806</v>
      </c>
      <c r="E159" s="35"/>
      <c r="F159" s="35"/>
      <c r="G159" s="35"/>
      <c r="H159" s="35"/>
      <c r="I159" s="35"/>
      <c r="J159" s="35"/>
      <c r="K159" s="35"/>
      <c r="L159" s="35"/>
    </row>
    <row r="160" customFormat="false" ht="24" hidden="false" customHeight="true" outlineLevel="0" collapsed="false">
      <c r="A160" s="10" t="s">
        <v>231</v>
      </c>
      <c r="B160" s="30" t="n">
        <f aca="false">IF(B148=0,0,B159/B148)</f>
        <v>0</v>
      </c>
      <c r="C160" s="12" t="s">
        <v>284</v>
      </c>
      <c r="D160" s="35" t="s">
        <v>807</v>
      </c>
      <c r="E160" s="35"/>
      <c r="F160" s="35"/>
      <c r="G160" s="35"/>
      <c r="H160" s="35"/>
      <c r="I160" s="35"/>
      <c r="J160" s="35"/>
      <c r="K160" s="35"/>
      <c r="L160" s="35"/>
    </row>
    <row r="162" customFormat="false" ht="19.5" hidden="false" customHeight="true" outlineLevel="0" collapsed="false">
      <c r="A162" s="3" t="s">
        <v>808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customFormat="false" ht="15.75" hidden="false" customHeight="true" outlineLevel="0" collapsed="false">
      <c r="A163" s="42" t="s">
        <v>809</v>
      </c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</row>
    <row r="164" customFormat="false" ht="15" hidden="false" customHeight="fals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</row>
    <row r="165" customFormat="false" ht="27.75" hidden="false" customHeight="true" outlineLevel="0" collapsed="false">
      <c r="A165" s="4" t="s">
        <v>42</v>
      </c>
      <c r="B165" s="4" t="s">
        <v>212</v>
      </c>
      <c r="C165" s="4" t="s">
        <v>257</v>
      </c>
      <c r="D165" s="4" t="s">
        <v>395</v>
      </c>
      <c r="E165" s="4"/>
      <c r="F165" s="4"/>
      <c r="G165" s="4"/>
      <c r="H165" s="4"/>
      <c r="I165" s="4"/>
      <c r="J165" s="4"/>
      <c r="K165" s="4"/>
      <c r="L165" s="4"/>
    </row>
    <row r="166" customFormat="false" ht="24" hidden="false" customHeight="true" outlineLevel="0" collapsed="false">
      <c r="A166" s="10" t="s">
        <v>810</v>
      </c>
      <c r="B166" s="27"/>
      <c r="C166" s="12" t="s">
        <v>273</v>
      </c>
      <c r="D166" s="35" t="s">
        <v>811</v>
      </c>
      <c r="E166" s="35"/>
      <c r="F166" s="35"/>
      <c r="G166" s="35"/>
      <c r="H166" s="35"/>
      <c r="I166" s="35"/>
      <c r="J166" s="35"/>
      <c r="K166" s="35"/>
      <c r="L166" s="35"/>
    </row>
    <row r="167" customFormat="false" ht="24" hidden="false" customHeight="true" outlineLevel="0" collapsed="false">
      <c r="A167" s="10" t="s">
        <v>812</v>
      </c>
      <c r="B167" s="16"/>
      <c r="C167" s="12" t="s">
        <v>284</v>
      </c>
      <c r="D167" s="35" t="s">
        <v>813</v>
      </c>
      <c r="E167" s="35"/>
      <c r="F167" s="35"/>
      <c r="G167" s="35"/>
      <c r="H167" s="35"/>
      <c r="I167" s="35"/>
      <c r="J167" s="35"/>
      <c r="K167" s="35"/>
      <c r="L167" s="35"/>
    </row>
    <row r="168" customFormat="false" ht="24" hidden="false" customHeight="true" outlineLevel="0" collapsed="false">
      <c r="A168" s="10" t="s">
        <v>814</v>
      </c>
      <c r="B168" s="31" t="n">
        <f aca="false">IFERROR(B166/(1+B167),0)</f>
        <v>0</v>
      </c>
      <c r="C168" s="12" t="s">
        <v>273</v>
      </c>
      <c r="D168" s="35" t="s">
        <v>815</v>
      </c>
      <c r="E168" s="35"/>
      <c r="F168" s="35"/>
      <c r="G168" s="35"/>
      <c r="H168" s="35"/>
      <c r="I168" s="35"/>
      <c r="J168" s="35"/>
      <c r="K168" s="35"/>
      <c r="L168" s="35"/>
    </row>
    <row r="169" customFormat="false" ht="24" hidden="false" customHeight="true" outlineLevel="0" collapsed="false">
      <c r="A169" s="10" t="s">
        <v>816</v>
      </c>
      <c r="B169" s="33" t="n">
        <f aca="false">IF(B135=0,1+B130,(1+B130)*(1+(1+B134)*B135)-B131)</f>
        <v>1</v>
      </c>
      <c r="C169" s="12" t="s">
        <v>817</v>
      </c>
      <c r="D169" s="35" t="s">
        <v>818</v>
      </c>
      <c r="E169" s="35"/>
      <c r="F169" s="35"/>
      <c r="G169" s="35"/>
      <c r="H169" s="35"/>
      <c r="I169" s="35"/>
      <c r="J169" s="35"/>
      <c r="K169" s="35"/>
      <c r="L169" s="35"/>
    </row>
    <row r="170" customFormat="false" ht="24" hidden="false" customHeight="true" outlineLevel="0" collapsed="false">
      <c r="A170" s="10" t="s">
        <v>819</v>
      </c>
      <c r="B170" s="31" t="n">
        <f aca="false">IFERROR(B168/B169,0)</f>
        <v>0</v>
      </c>
      <c r="C170" s="12" t="s">
        <v>273</v>
      </c>
      <c r="D170" s="35" t="s">
        <v>820</v>
      </c>
      <c r="E170" s="35"/>
      <c r="F170" s="35"/>
      <c r="G170" s="35"/>
      <c r="H170" s="35"/>
      <c r="I170" s="35"/>
      <c r="J170" s="35"/>
      <c r="K170" s="35"/>
      <c r="L170" s="35"/>
    </row>
    <row r="171" customFormat="false" ht="24" hidden="false" customHeight="true" outlineLevel="0" collapsed="false">
      <c r="A171" s="10" t="s">
        <v>821</v>
      </c>
      <c r="B171" s="30" t="str">
        <f aca="false">IF(B170=0,"",IFERROR(B129/B170-1,""))</f>
        <v/>
      </c>
      <c r="C171" s="12" t="s">
        <v>284</v>
      </c>
      <c r="D171" s="35" t="s">
        <v>822</v>
      </c>
      <c r="E171" s="35"/>
      <c r="F171" s="35"/>
      <c r="G171" s="35"/>
      <c r="H171" s="35"/>
      <c r="I171" s="35"/>
      <c r="J171" s="35"/>
      <c r="K171" s="35"/>
      <c r="L171" s="35"/>
    </row>
    <row r="172" customFormat="false" ht="24" hidden="false" customHeight="true" outlineLevel="0" collapsed="false">
      <c r="A172" s="10" t="s">
        <v>823</v>
      </c>
      <c r="B172" s="19" t="n">
        <f aca="false">'1. Briefing'!B30</f>
        <v>0</v>
      </c>
      <c r="C172" s="12" t="s">
        <v>284</v>
      </c>
      <c r="D172" s="35" t="s">
        <v>290</v>
      </c>
      <c r="E172" s="35"/>
      <c r="F172" s="35"/>
      <c r="G172" s="35"/>
      <c r="H172" s="35"/>
      <c r="I172" s="35"/>
      <c r="J172" s="35"/>
      <c r="K172" s="35"/>
      <c r="L172" s="35"/>
    </row>
    <row r="173" customFormat="false" ht="24" hidden="false" customHeight="true" outlineLevel="0" collapsed="false">
      <c r="A173" s="10" t="s">
        <v>824</v>
      </c>
      <c r="B173" s="33" t="n">
        <f aca="false">(1-B131-B132-B133-B136-B155-B156-B157)-B172*(1-B131-B132-B133-B136)</f>
        <v>0.9075</v>
      </c>
      <c r="C173" s="12" t="s">
        <v>825</v>
      </c>
      <c r="D173" s="35" t="s">
        <v>826</v>
      </c>
      <c r="E173" s="35"/>
      <c r="F173" s="35"/>
      <c r="G173" s="35"/>
      <c r="H173" s="35"/>
      <c r="I173" s="35"/>
      <c r="J173" s="35"/>
      <c r="K173" s="35"/>
      <c r="L173" s="35"/>
    </row>
    <row r="174" customFormat="false" ht="24" hidden="false" customHeight="true" outlineLevel="0" collapsed="false">
      <c r="A174" s="10" t="s">
        <v>827</v>
      </c>
      <c r="B174" s="31" t="n">
        <f aca="false">IF(B173&lt;=0,"Inviável",IFERROR(B123/B173,0))</f>
        <v>0</v>
      </c>
      <c r="C174" s="12" t="s">
        <v>273</v>
      </c>
      <c r="D174" s="35" t="s">
        <v>828</v>
      </c>
      <c r="E174" s="35"/>
      <c r="F174" s="35"/>
      <c r="G174" s="35"/>
      <c r="H174" s="35"/>
      <c r="I174" s="35"/>
      <c r="J174" s="35"/>
      <c r="K174" s="35"/>
      <c r="L174" s="35"/>
    </row>
    <row r="175" customFormat="false" ht="24" hidden="false" customHeight="true" outlineLevel="0" collapsed="false">
      <c r="A175" s="10" t="s">
        <v>829</v>
      </c>
      <c r="B175" s="31" t="n">
        <f aca="false">IF(B173&lt;=0,"Inviável",IFERROR(B174*B169,0))</f>
        <v>0</v>
      </c>
      <c r="C175" s="12" t="s">
        <v>273</v>
      </c>
      <c r="D175" s="35" t="s">
        <v>830</v>
      </c>
      <c r="E175" s="35"/>
      <c r="F175" s="35"/>
      <c r="G175" s="35"/>
      <c r="H175" s="35"/>
      <c r="I175" s="35"/>
      <c r="J175" s="35"/>
      <c r="K175" s="35"/>
      <c r="L175" s="35"/>
    </row>
    <row r="176" customFormat="false" ht="24" hidden="false" customHeight="true" outlineLevel="0" collapsed="false">
      <c r="A176" s="10" t="s">
        <v>831</v>
      </c>
      <c r="B176" s="31" t="n">
        <f aca="false">IF(B173&lt;=0,"Inviável",IFERROR(B175*(1+B167),0))</f>
        <v>0</v>
      </c>
      <c r="C176" s="12" t="s">
        <v>273</v>
      </c>
      <c r="D176" s="35" t="s">
        <v>832</v>
      </c>
      <c r="E176" s="35"/>
      <c r="F176" s="35"/>
      <c r="G176" s="35"/>
      <c r="H176" s="35"/>
      <c r="I176" s="35"/>
      <c r="J176" s="35"/>
      <c r="K176" s="35"/>
      <c r="L176" s="35"/>
    </row>
    <row r="177" customFormat="false" ht="24" hidden="false" customHeight="true" outlineLevel="0" collapsed="false">
      <c r="A177" s="38" t="s">
        <v>833</v>
      </c>
      <c r="B177" s="5" t="str">
        <f aca="false">IF(B148=0,"Preencha as premissas",IF(B172=0,"Defina a margem-alvo no briefing",IF(B160&gt;=B172,"APROVADO — margem acima do alvo",IF(B160&gt;=B172*0.9,"ATENÇÃO — até 10% abaixo do alvo","REPROVADO — margem insuficiente"))))</f>
        <v>Preencha as premissas</v>
      </c>
      <c r="C177" s="12"/>
      <c r="D177" s="35" t="s">
        <v>834</v>
      </c>
      <c r="E177" s="35"/>
      <c r="F177" s="35"/>
      <c r="G177" s="35"/>
      <c r="H177" s="35"/>
      <c r="I177" s="35"/>
      <c r="J177" s="35"/>
      <c r="K177" s="35"/>
      <c r="L177" s="35"/>
    </row>
    <row r="179" customFormat="false" ht="19.5" hidden="false" customHeight="true" outlineLevel="0" collapsed="false">
      <c r="A179" s="3" t="s">
        <v>835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customFormat="false" ht="27.75" hidden="false" customHeight="true" outlineLevel="0" collapsed="false">
      <c r="A180" s="4" t="s">
        <v>42</v>
      </c>
      <c r="B180" s="4" t="s">
        <v>212</v>
      </c>
      <c r="C180" s="4" t="s">
        <v>257</v>
      </c>
      <c r="D180" s="4" t="s">
        <v>395</v>
      </c>
      <c r="E180" s="4"/>
      <c r="F180" s="4"/>
      <c r="G180" s="4"/>
      <c r="H180" s="4"/>
      <c r="I180" s="4"/>
      <c r="J180" s="4"/>
      <c r="K180" s="4"/>
      <c r="L180" s="4"/>
    </row>
    <row r="181" customFormat="false" ht="24" hidden="false" customHeight="true" outlineLevel="0" collapsed="false">
      <c r="A181" s="10" t="s">
        <v>836</v>
      </c>
      <c r="B181" s="15"/>
      <c r="C181" s="12" t="s">
        <v>837</v>
      </c>
      <c r="D181" s="35" t="s">
        <v>838</v>
      </c>
      <c r="E181" s="35"/>
      <c r="F181" s="35"/>
      <c r="G181" s="35"/>
      <c r="H181" s="35"/>
      <c r="I181" s="35"/>
      <c r="J181" s="35"/>
      <c r="K181" s="35"/>
      <c r="L181" s="35"/>
    </row>
    <row r="182" customFormat="false" ht="24" hidden="false" customHeight="true" outlineLevel="0" collapsed="false">
      <c r="A182" s="10" t="s">
        <v>839</v>
      </c>
      <c r="B182" s="15"/>
      <c r="C182" s="12" t="s">
        <v>837</v>
      </c>
      <c r="D182" s="35" t="s">
        <v>840</v>
      </c>
      <c r="E182" s="35"/>
      <c r="F182" s="35"/>
      <c r="G182" s="35"/>
      <c r="H182" s="35"/>
      <c r="I182" s="35"/>
      <c r="J182" s="35"/>
      <c r="K182" s="35"/>
      <c r="L182" s="35"/>
    </row>
    <row r="183" customFormat="false" ht="24" hidden="false" customHeight="true" outlineLevel="0" collapsed="false">
      <c r="A183" s="10" t="s">
        <v>841</v>
      </c>
      <c r="B183" s="28" t="n">
        <f aca="false">B181+B182</f>
        <v>0</v>
      </c>
      <c r="C183" s="12" t="s">
        <v>837</v>
      </c>
      <c r="D183" s="35" t="s">
        <v>842</v>
      </c>
      <c r="E183" s="35"/>
      <c r="F183" s="35"/>
      <c r="G183" s="35"/>
      <c r="H183" s="35"/>
      <c r="I183" s="35"/>
      <c r="J183" s="35"/>
      <c r="K183" s="35"/>
      <c r="L183" s="35"/>
    </row>
    <row r="184" customFormat="false" ht="24" hidden="false" customHeight="true" outlineLevel="0" collapsed="false">
      <c r="A184" s="10" t="s">
        <v>234</v>
      </c>
      <c r="B184" s="25" t="n">
        <f aca="false">IF(B159&lt;=0,0,B183/B159)</f>
        <v>0</v>
      </c>
      <c r="C184" s="12" t="s">
        <v>843</v>
      </c>
      <c r="D184" s="35" t="s">
        <v>844</v>
      </c>
      <c r="E184" s="35"/>
      <c r="F184" s="35"/>
      <c r="G184" s="35"/>
      <c r="H184" s="35"/>
      <c r="I184" s="35"/>
      <c r="J184" s="35"/>
      <c r="K184" s="35"/>
      <c r="L184" s="35"/>
    </row>
    <row r="185" customFormat="false" ht="24" hidden="false" customHeight="true" outlineLevel="0" collapsed="false">
      <c r="A185" s="10" t="s">
        <v>845</v>
      </c>
      <c r="B185" s="21" t="n">
        <f aca="false">IFERROR('1. Briefing'!B28/12,0)</f>
        <v>0</v>
      </c>
      <c r="C185" s="12" t="s">
        <v>843</v>
      </c>
      <c r="D185" s="35" t="s">
        <v>846</v>
      </c>
      <c r="E185" s="35"/>
      <c r="F185" s="35"/>
      <c r="G185" s="35"/>
      <c r="H185" s="35"/>
      <c r="I185" s="35"/>
      <c r="J185" s="35"/>
      <c r="K185" s="35"/>
      <c r="L185" s="35"/>
    </row>
    <row r="186" customFormat="false" ht="24" hidden="false" customHeight="true" outlineLevel="0" collapsed="false">
      <c r="A186" s="10" t="s">
        <v>847</v>
      </c>
      <c r="B186" s="30" t="n">
        <f aca="false">IF(B184=0,0,B185/B184-1)</f>
        <v>0</v>
      </c>
      <c r="C186" s="12" t="s">
        <v>284</v>
      </c>
      <c r="D186" s="35" t="s">
        <v>848</v>
      </c>
      <c r="E186" s="35"/>
      <c r="F186" s="35"/>
      <c r="G186" s="35"/>
      <c r="H186" s="35"/>
      <c r="I186" s="35"/>
      <c r="J186" s="35"/>
      <c r="K186" s="35"/>
      <c r="L186" s="35"/>
    </row>
    <row r="187" customFormat="false" ht="24" hidden="false" customHeight="true" outlineLevel="0" collapsed="false">
      <c r="A187" s="10" t="s">
        <v>849</v>
      </c>
      <c r="B187" s="33" t="n">
        <f aca="false">IFERROR(B185/B10,0)</f>
        <v>0</v>
      </c>
      <c r="C187" s="12" t="s">
        <v>850</v>
      </c>
      <c r="D187" s="35" t="s">
        <v>851</v>
      </c>
      <c r="E187" s="35"/>
      <c r="F187" s="35"/>
      <c r="G187" s="35"/>
      <c r="H187" s="35"/>
      <c r="I187" s="35"/>
      <c r="J187" s="35"/>
      <c r="K187" s="35"/>
      <c r="L187" s="35"/>
    </row>
    <row r="189" customFormat="false" ht="19.5" hidden="false" customHeight="true" outlineLevel="0" collapsed="false">
      <c r="A189" s="3" t="s">
        <v>852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customFormat="false" ht="27.75" hidden="false" customHeight="true" outlineLevel="0" collapsed="false">
      <c r="A190" s="4" t="s">
        <v>853</v>
      </c>
      <c r="B190" s="4" t="s">
        <v>854</v>
      </c>
      <c r="C190" s="4" t="s">
        <v>855</v>
      </c>
      <c r="D190" s="4" t="s">
        <v>856</v>
      </c>
      <c r="E190" s="4" t="s">
        <v>857</v>
      </c>
      <c r="F190" s="4" t="s">
        <v>858</v>
      </c>
      <c r="G190" s="4" t="s">
        <v>859</v>
      </c>
      <c r="H190" s="4" t="s">
        <v>229</v>
      </c>
      <c r="I190" s="4" t="s">
        <v>231</v>
      </c>
      <c r="J190" s="4"/>
      <c r="K190" s="4"/>
      <c r="L190" s="4"/>
    </row>
    <row r="191" customFormat="false" ht="21.75" hidden="false" customHeight="true" outlineLevel="0" collapsed="false">
      <c r="A191" s="10" t="s">
        <v>860</v>
      </c>
      <c r="B191" s="16" t="n">
        <v>-0.1</v>
      </c>
      <c r="C191" s="16" t="n">
        <v>0.1</v>
      </c>
      <c r="D191" s="31" t="n">
        <f aca="false">$B$129*(1+B191)</f>
        <v>0</v>
      </c>
      <c r="E191" s="31" t="n">
        <f aca="false">D191*(1-$B$131-$B$132-$B$133-$B$136)</f>
        <v>0</v>
      </c>
      <c r="F191" s="31" t="n">
        <f aca="false">$B$123*(1+C191)</f>
        <v>0</v>
      </c>
      <c r="G191" s="31" t="n">
        <f aca="false">E191-F191</f>
        <v>0</v>
      </c>
      <c r="H191" s="30" t="n">
        <f aca="false">IF(E191=0,0,G191/E191)</f>
        <v>0</v>
      </c>
      <c r="I191" s="30" t="n">
        <f aca="false">IF(E191=0,0,(G191-D191*($B$155+$B$156+$B$157))/E191)</f>
        <v>0</v>
      </c>
    </row>
    <row r="192" customFormat="false" ht="21.75" hidden="false" customHeight="true" outlineLevel="0" collapsed="false">
      <c r="A192" s="10" t="s">
        <v>861</v>
      </c>
      <c r="B192" s="16" t="n">
        <v>-0.1</v>
      </c>
      <c r="C192" s="16" t="n">
        <v>0</v>
      </c>
      <c r="D192" s="31" t="n">
        <f aca="false">$B$129*(1+B192)</f>
        <v>0</v>
      </c>
      <c r="E192" s="31" t="n">
        <f aca="false">D192*(1-$B$131-$B$132-$B$133-$B$136)</f>
        <v>0</v>
      </c>
      <c r="F192" s="31" t="n">
        <f aca="false">$B$123*(1+C192)</f>
        <v>0</v>
      </c>
      <c r="G192" s="31" t="n">
        <f aca="false">E192-F192</f>
        <v>0</v>
      </c>
      <c r="H192" s="30" t="n">
        <f aca="false">IF(E192=0,0,G192/E192)</f>
        <v>0</v>
      </c>
      <c r="I192" s="30" t="n">
        <f aca="false">IF(E192=0,0,(G192-D192*($B$155+$B$156+$B$157))/E192)</f>
        <v>0</v>
      </c>
    </row>
    <row r="193" customFormat="false" ht="21.75" hidden="false" customHeight="true" outlineLevel="0" collapsed="false">
      <c r="A193" s="10" t="s">
        <v>862</v>
      </c>
      <c r="B193" s="16" t="n">
        <v>0</v>
      </c>
      <c r="C193" s="16" t="n">
        <v>0.1</v>
      </c>
      <c r="D193" s="31" t="n">
        <f aca="false">$B$129*(1+B193)</f>
        <v>0</v>
      </c>
      <c r="E193" s="31" t="n">
        <f aca="false">D193*(1-$B$131-$B$132-$B$133-$B$136)</f>
        <v>0</v>
      </c>
      <c r="F193" s="31" t="n">
        <f aca="false">$B$123*(1+C193)</f>
        <v>0</v>
      </c>
      <c r="G193" s="31" t="n">
        <f aca="false">E193-F193</f>
        <v>0</v>
      </c>
      <c r="H193" s="30" t="n">
        <f aca="false">IF(E193=0,0,G193/E193)</f>
        <v>0</v>
      </c>
      <c r="I193" s="30" t="n">
        <f aca="false">IF(E193=0,0,(G193-D193*($B$155+$B$156+$B$157))/E193)</f>
        <v>0</v>
      </c>
    </row>
    <row r="194" customFormat="false" ht="21.75" hidden="false" customHeight="true" outlineLevel="0" collapsed="false">
      <c r="A194" s="10" t="s">
        <v>863</v>
      </c>
      <c r="B194" s="16" t="n">
        <v>0</v>
      </c>
      <c r="C194" s="16" t="n">
        <v>0</v>
      </c>
      <c r="D194" s="31" t="n">
        <f aca="false">$B$129*(1+B194)</f>
        <v>0</v>
      </c>
      <c r="E194" s="31" t="n">
        <f aca="false">D194*(1-$B$131-$B$132-$B$133-$B$136)</f>
        <v>0</v>
      </c>
      <c r="F194" s="31" t="n">
        <f aca="false">$B$123*(1+C194)</f>
        <v>0</v>
      </c>
      <c r="G194" s="31" t="n">
        <f aca="false">E194-F194</f>
        <v>0</v>
      </c>
      <c r="H194" s="30" t="n">
        <f aca="false">IF(E194=0,0,G194/E194)</f>
        <v>0</v>
      </c>
      <c r="I194" s="30" t="n">
        <f aca="false">IF(E194=0,0,(G194-D194*($B$155+$B$156+$B$157))/E194)</f>
        <v>0</v>
      </c>
    </row>
    <row r="195" customFormat="false" ht="21.75" hidden="false" customHeight="true" outlineLevel="0" collapsed="false">
      <c r="A195" s="10" t="s">
        <v>864</v>
      </c>
      <c r="B195" s="16" t="n">
        <v>0.05</v>
      </c>
      <c r="C195" s="16" t="n">
        <v>-0.05</v>
      </c>
      <c r="D195" s="31" t="n">
        <f aca="false">$B$129*(1+B195)</f>
        <v>0</v>
      </c>
      <c r="E195" s="31" t="n">
        <f aca="false">D195*(1-$B$131-$B$132-$B$133-$B$136)</f>
        <v>0</v>
      </c>
      <c r="F195" s="31" t="n">
        <f aca="false">$B$123*(1+C195)</f>
        <v>0</v>
      </c>
      <c r="G195" s="31" t="n">
        <f aca="false">E195-F195</f>
        <v>0</v>
      </c>
      <c r="H195" s="30" t="n">
        <f aca="false">IF(E195=0,0,G195/E195)</f>
        <v>0</v>
      </c>
      <c r="I195" s="30" t="n">
        <f aca="false">IF(E195=0,0,(G195-D195*($B$155+$B$156+$B$157))/E195)</f>
        <v>0</v>
      </c>
    </row>
    <row r="196" customFormat="false" ht="15" hidden="false" customHeight="false" outlineLevel="0" collapsed="false">
      <c r="A196" s="29" t="s">
        <v>865</v>
      </c>
      <c r="B196" s="32"/>
      <c r="C196" s="32"/>
      <c r="D196" s="32"/>
      <c r="E196" s="32"/>
      <c r="F196" s="32"/>
      <c r="G196" s="32"/>
      <c r="H196" s="32"/>
      <c r="I196" s="30" t="n">
        <f aca="false">IFERROR(MIN(I191:I195),0)</f>
        <v>0</v>
      </c>
      <c r="J196" s="32"/>
      <c r="K196" s="32"/>
      <c r="L196" s="32"/>
    </row>
    <row r="197" customFormat="false" ht="15.75" hidden="false" customHeight="true" outlineLevel="0" collapsed="false">
      <c r="A197" s="42" t="s">
        <v>866</v>
      </c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</row>
    <row r="198" customFormat="false" ht="15" hidden="false" customHeight="fals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</row>
  </sheetData>
  <mergeCells count="118">
    <mergeCell ref="A1:L1"/>
    <mergeCell ref="A2:L2"/>
    <mergeCell ref="A4:L4"/>
    <mergeCell ref="D6:L6"/>
    <mergeCell ref="D7:L7"/>
    <mergeCell ref="D8:L8"/>
    <mergeCell ref="D9:L9"/>
    <mergeCell ref="D10:L10"/>
    <mergeCell ref="D11:L11"/>
    <mergeCell ref="D12:L12"/>
    <mergeCell ref="D13:L13"/>
    <mergeCell ref="D14:L14"/>
    <mergeCell ref="A16:L16"/>
    <mergeCell ref="A17:L17"/>
    <mergeCell ref="A35:L35"/>
    <mergeCell ref="A37:L37"/>
    <mergeCell ref="A38:L38"/>
    <mergeCell ref="A51:L51"/>
    <mergeCell ref="A52:L52"/>
    <mergeCell ref="D54:L54"/>
    <mergeCell ref="D55:L55"/>
    <mergeCell ref="D56:L56"/>
    <mergeCell ref="D57:L57"/>
    <mergeCell ref="D58:L58"/>
    <mergeCell ref="D59:L59"/>
    <mergeCell ref="D60:L60"/>
    <mergeCell ref="D61:L61"/>
    <mergeCell ref="D62:L62"/>
    <mergeCell ref="D63:L63"/>
    <mergeCell ref="D64:L64"/>
    <mergeCell ref="D65:L65"/>
    <mergeCell ref="D66:L66"/>
    <mergeCell ref="D67:L67"/>
    <mergeCell ref="A69:L69"/>
    <mergeCell ref="A70:L70"/>
    <mergeCell ref="A78:L78"/>
    <mergeCell ref="A80:L80"/>
    <mergeCell ref="A81:L81"/>
    <mergeCell ref="D83:L83"/>
    <mergeCell ref="D84:L84"/>
    <mergeCell ref="D85:L85"/>
    <mergeCell ref="D86:L86"/>
    <mergeCell ref="D87:L87"/>
    <mergeCell ref="D88:L88"/>
    <mergeCell ref="D89:L89"/>
    <mergeCell ref="D90:L90"/>
    <mergeCell ref="D91:L91"/>
    <mergeCell ref="D92:L92"/>
    <mergeCell ref="D93:L93"/>
    <mergeCell ref="D94:L94"/>
    <mergeCell ref="D97:L97"/>
    <mergeCell ref="D98:L98"/>
    <mergeCell ref="D99:L99"/>
    <mergeCell ref="D100:L100"/>
    <mergeCell ref="D101:L101"/>
    <mergeCell ref="A103:L103"/>
    <mergeCell ref="A104:L104"/>
    <mergeCell ref="A116:L116"/>
    <mergeCell ref="E118:L118"/>
    <mergeCell ref="E119:L119"/>
    <mergeCell ref="E120:L120"/>
    <mergeCell ref="E121:L121"/>
    <mergeCell ref="E122:L122"/>
    <mergeCell ref="E123:L123"/>
    <mergeCell ref="A125:L125"/>
    <mergeCell ref="A126:L127"/>
    <mergeCell ref="D129:L129"/>
    <mergeCell ref="D130:L130"/>
    <mergeCell ref="D131:L131"/>
    <mergeCell ref="D132:L132"/>
    <mergeCell ref="D133:L133"/>
    <mergeCell ref="D134:L134"/>
    <mergeCell ref="D135:L135"/>
    <mergeCell ref="D136:L136"/>
    <mergeCell ref="D137:L137"/>
    <mergeCell ref="D138:L138"/>
    <mergeCell ref="D139:L139"/>
    <mergeCell ref="D140:L140"/>
    <mergeCell ref="D143:L143"/>
    <mergeCell ref="D144:L144"/>
    <mergeCell ref="D145:L145"/>
    <mergeCell ref="D146:L146"/>
    <mergeCell ref="D147:L147"/>
    <mergeCell ref="D148:L148"/>
    <mergeCell ref="D149:L149"/>
    <mergeCell ref="D150:L150"/>
    <mergeCell ref="D151:L151"/>
    <mergeCell ref="D152:L152"/>
    <mergeCell ref="D155:L155"/>
    <mergeCell ref="D156:L156"/>
    <mergeCell ref="D157:L157"/>
    <mergeCell ref="D158:L158"/>
    <mergeCell ref="D159:L159"/>
    <mergeCell ref="D160:L160"/>
    <mergeCell ref="A162:L162"/>
    <mergeCell ref="A163:L164"/>
    <mergeCell ref="D166:L166"/>
    <mergeCell ref="D167:L167"/>
    <mergeCell ref="D168:L168"/>
    <mergeCell ref="D169:L169"/>
    <mergeCell ref="D170:L170"/>
    <mergeCell ref="D171:L171"/>
    <mergeCell ref="D172:L172"/>
    <mergeCell ref="D173:L173"/>
    <mergeCell ref="D174:L174"/>
    <mergeCell ref="D175:L175"/>
    <mergeCell ref="D176:L176"/>
    <mergeCell ref="D177:L177"/>
    <mergeCell ref="A179:L179"/>
    <mergeCell ref="D181:L181"/>
    <mergeCell ref="D182:L182"/>
    <mergeCell ref="D183:L183"/>
    <mergeCell ref="D184:L184"/>
    <mergeCell ref="D185:L185"/>
    <mergeCell ref="D186:L186"/>
    <mergeCell ref="D187:L187"/>
    <mergeCell ref="A189:L189"/>
    <mergeCell ref="A197:L198"/>
  </mergeCells>
  <dataValidations count="1">
    <dataValidation allowBlank="true" errorStyle="stop" operator="between" showDropDown="false" showErrorMessage="false" showInputMessage="false" sqref="B40:B48" type="list">
      <formula1>"Comprada pronta,Transformada internamente,Fornecida pelo terceirista"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008C"/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8"/>
    <col collapsed="false" customWidth="true" hidden="false" outlineLevel="0" max="6" min="6" style="0" width="46"/>
  </cols>
  <sheetData>
    <row r="1" customFormat="false" ht="30" hidden="false" customHeight="true" outlineLevel="0" collapsed="false">
      <c r="A1" s="1" t="s">
        <v>867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868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869</v>
      </c>
      <c r="B4" s="3"/>
      <c r="C4" s="3"/>
      <c r="D4" s="3"/>
      <c r="E4" s="3"/>
      <c r="F4" s="3"/>
    </row>
    <row r="5" customFormat="false" ht="27.75" hidden="false" customHeight="true" outlineLevel="0" collapsed="false">
      <c r="A5" s="4" t="s">
        <v>256</v>
      </c>
      <c r="B5" s="4" t="s">
        <v>212</v>
      </c>
      <c r="C5" s="4"/>
      <c r="D5" s="4"/>
      <c r="E5" s="4"/>
      <c r="F5" s="4" t="s">
        <v>395</v>
      </c>
    </row>
    <row r="6" customFormat="false" ht="25.5" hidden="false" customHeight="true" outlineLevel="0" collapsed="false">
      <c r="A6" s="10" t="s">
        <v>870</v>
      </c>
      <c r="B6" s="16" t="n">
        <v>0.25</v>
      </c>
      <c r="C6" s="32"/>
      <c r="D6" s="32"/>
      <c r="E6" s="32"/>
      <c r="F6" s="12" t="s">
        <v>871</v>
      </c>
    </row>
    <row r="7" customFormat="false" ht="25.5" hidden="false" customHeight="true" outlineLevel="0" collapsed="false">
      <c r="A7" s="10" t="s">
        <v>872</v>
      </c>
      <c r="B7" s="16" t="n">
        <v>0.15</v>
      </c>
      <c r="C7" s="32"/>
      <c r="D7" s="32"/>
      <c r="E7" s="32"/>
      <c r="F7" s="12" t="s">
        <v>873</v>
      </c>
    </row>
    <row r="8" customFormat="false" ht="25.5" hidden="false" customHeight="true" outlineLevel="0" collapsed="false">
      <c r="A8" s="10" t="s">
        <v>874</v>
      </c>
      <c r="B8" s="16" t="n">
        <v>0.08</v>
      </c>
      <c r="C8" s="32"/>
      <c r="D8" s="32"/>
      <c r="E8" s="32"/>
      <c r="F8" s="12" t="s">
        <v>875</v>
      </c>
    </row>
    <row r="9" customFormat="false" ht="25.5" hidden="false" customHeight="true" outlineLevel="0" collapsed="false">
      <c r="A9" s="10" t="s">
        <v>876</v>
      </c>
      <c r="B9" s="16" t="n">
        <v>0.06</v>
      </c>
      <c r="C9" s="32"/>
      <c r="D9" s="32"/>
      <c r="E9" s="32"/>
      <c r="F9" s="12" t="s">
        <v>877</v>
      </c>
    </row>
    <row r="10" customFormat="false" ht="25.5" hidden="false" customHeight="true" outlineLevel="0" collapsed="false">
      <c r="A10" s="10" t="s">
        <v>878</v>
      </c>
      <c r="B10" s="16" t="n">
        <v>0.18</v>
      </c>
      <c r="C10" s="32"/>
      <c r="D10" s="32"/>
      <c r="E10" s="32"/>
      <c r="F10" s="12" t="s">
        <v>879</v>
      </c>
    </row>
    <row r="11" customFormat="false" ht="25.5" hidden="false" customHeight="true" outlineLevel="0" collapsed="false">
      <c r="A11" s="10" t="s">
        <v>880</v>
      </c>
      <c r="B11" s="15"/>
      <c r="C11" s="32"/>
      <c r="D11" s="32"/>
      <c r="E11" s="32"/>
      <c r="F11" s="12" t="s">
        <v>881</v>
      </c>
    </row>
    <row r="12" customFormat="false" ht="19.4" hidden="false" customHeight="false" outlineLevel="0" collapsed="false">
      <c r="A12" s="12" t="s">
        <v>882</v>
      </c>
    </row>
    <row r="14" customFormat="false" ht="19.5" hidden="false" customHeight="true" outlineLevel="0" collapsed="false">
      <c r="A14" s="3" t="s">
        <v>883</v>
      </c>
      <c r="B14" s="3"/>
      <c r="C14" s="3"/>
      <c r="D14" s="3"/>
      <c r="E14" s="3"/>
      <c r="F14" s="3"/>
    </row>
    <row r="15" customFormat="false" ht="27.75" hidden="false" customHeight="true" outlineLevel="0" collapsed="false">
      <c r="A15" s="4" t="s">
        <v>884</v>
      </c>
      <c r="B15" s="4" t="s">
        <v>885</v>
      </c>
      <c r="C15" s="4" t="s">
        <v>886</v>
      </c>
      <c r="D15" s="4" t="s">
        <v>887</v>
      </c>
      <c r="E15" s="4" t="s">
        <v>888</v>
      </c>
      <c r="F15" s="4" t="s">
        <v>395</v>
      </c>
    </row>
    <row r="16" customFormat="false" ht="21.75" hidden="false" customHeight="true" outlineLevel="0" collapsed="false">
      <c r="A16" s="10" t="s">
        <v>889</v>
      </c>
      <c r="B16" s="44"/>
      <c r="C16" s="21" t="n">
        <f aca="false">IFERROR('1. Briefing'!B28,0)</f>
        <v>0</v>
      </c>
      <c r="D16" s="21" t="n">
        <f aca="false">C16*(1+$B$6)</f>
        <v>0</v>
      </c>
      <c r="E16" s="21" t="n">
        <f aca="false">D16*(1+$B$7)</f>
        <v>0</v>
      </c>
      <c r="F16" s="12" t="s">
        <v>890</v>
      </c>
    </row>
    <row r="17" customFormat="false" ht="21.75" hidden="false" customHeight="true" outlineLevel="0" collapsed="false">
      <c r="A17" s="10" t="s">
        <v>891</v>
      </c>
      <c r="B17" s="44"/>
      <c r="C17" s="18" t="n">
        <f aca="false">'5. Custos'!B129</f>
        <v>0</v>
      </c>
      <c r="D17" s="18" t="n">
        <f aca="false">C17</f>
        <v>0</v>
      </c>
      <c r="E17" s="18" t="n">
        <f aca="false">D17</f>
        <v>0</v>
      </c>
      <c r="F17" s="12" t="s">
        <v>892</v>
      </c>
    </row>
    <row r="18" customFormat="false" ht="21.75" hidden="false" customHeight="true" outlineLevel="0" collapsed="false">
      <c r="A18" s="10" t="s">
        <v>779</v>
      </c>
      <c r="B18" s="44"/>
      <c r="C18" s="28" t="n">
        <f aca="false">C16*C17</f>
        <v>0</v>
      </c>
      <c r="D18" s="28" t="n">
        <f aca="false">D16*D17</f>
        <v>0</v>
      </c>
      <c r="E18" s="28" t="n">
        <f aca="false">E16*E17</f>
        <v>0</v>
      </c>
      <c r="F18" s="12" t="s">
        <v>893</v>
      </c>
    </row>
    <row r="19" customFormat="false" ht="21.75" hidden="false" customHeight="true" outlineLevel="0" collapsed="false">
      <c r="A19" s="10" t="s">
        <v>894</v>
      </c>
      <c r="B19" s="44"/>
      <c r="C19" s="17" t="n">
        <f aca="false">C16*'5. Custos'!$B$148</f>
        <v>0</v>
      </c>
      <c r="D19" s="17" t="n">
        <f aca="false">D16*'5. Custos'!$B$148</f>
        <v>0</v>
      </c>
      <c r="E19" s="17" t="n">
        <f aca="false">E16*'5. Custos'!$B$148</f>
        <v>0</v>
      </c>
      <c r="F19" s="12" t="s">
        <v>895</v>
      </c>
    </row>
    <row r="20" customFormat="false" ht="21.75" hidden="false" customHeight="true" outlineLevel="0" collapsed="false">
      <c r="A20" s="10" t="s">
        <v>896</v>
      </c>
      <c r="B20" s="44"/>
      <c r="C20" s="17" t="n">
        <f aca="false">-C16*'5. Custos'!$B$123</f>
        <v>-0</v>
      </c>
      <c r="D20" s="17" t="n">
        <f aca="false">-D16*'5. Custos'!$B$123</f>
        <v>-0</v>
      </c>
      <c r="E20" s="17" t="n">
        <f aca="false">-E16*'5. Custos'!$B$123</f>
        <v>-0</v>
      </c>
      <c r="F20" s="12" t="s">
        <v>897</v>
      </c>
    </row>
    <row r="21" customFormat="false" ht="21.75" hidden="false" customHeight="true" outlineLevel="0" collapsed="false">
      <c r="A21" s="38" t="s">
        <v>898</v>
      </c>
      <c r="B21" s="44"/>
      <c r="C21" s="28" t="n">
        <f aca="false">C19+C20</f>
        <v>0</v>
      </c>
      <c r="D21" s="28" t="n">
        <f aca="false">D19+D20</f>
        <v>0</v>
      </c>
      <c r="E21" s="28" t="n">
        <f aca="false">E19+E20</f>
        <v>0</v>
      </c>
      <c r="F21" s="12" t="s">
        <v>899</v>
      </c>
    </row>
    <row r="22" customFormat="false" ht="21.75" hidden="false" customHeight="true" outlineLevel="0" collapsed="false">
      <c r="A22" s="10" t="s">
        <v>900</v>
      </c>
      <c r="B22" s="44"/>
      <c r="C22" s="28" t="n">
        <f aca="false">-C19*$B$8</f>
        <v>-0</v>
      </c>
      <c r="D22" s="28" t="n">
        <f aca="false">-D19*$B$8</f>
        <v>-0</v>
      </c>
      <c r="E22" s="28" t="n">
        <f aca="false">-E19*$B$8</f>
        <v>-0</v>
      </c>
      <c r="F22" s="12" t="s">
        <v>901</v>
      </c>
    </row>
    <row r="23" customFormat="false" ht="21.75" hidden="false" customHeight="true" outlineLevel="0" collapsed="false">
      <c r="A23" s="10" t="s">
        <v>902</v>
      </c>
      <c r="B23" s="44"/>
      <c r="C23" s="28" t="n">
        <f aca="false">-C19*$B$9</f>
        <v>-0</v>
      </c>
      <c r="D23" s="28" t="n">
        <f aca="false">-D19*$B$9</f>
        <v>-0</v>
      </c>
      <c r="E23" s="28" t="n">
        <f aca="false">-E19*$B$9</f>
        <v>-0</v>
      </c>
      <c r="F23" s="12" t="s">
        <v>901</v>
      </c>
    </row>
    <row r="24" customFormat="false" ht="21.75" hidden="false" customHeight="true" outlineLevel="0" collapsed="false">
      <c r="A24" s="38" t="s">
        <v>903</v>
      </c>
      <c r="B24" s="44"/>
      <c r="C24" s="28" t="n">
        <f aca="false">C21+C22+C23</f>
        <v>0</v>
      </c>
      <c r="D24" s="28" t="n">
        <f aca="false">D21+D22+D23</f>
        <v>0</v>
      </c>
      <c r="E24" s="28" t="n">
        <f aca="false">E21+E22+E23</f>
        <v>0</v>
      </c>
      <c r="F24" s="12" t="s">
        <v>904</v>
      </c>
    </row>
    <row r="26" customFormat="false" ht="19.5" hidden="false" customHeight="true" outlineLevel="0" collapsed="false">
      <c r="A26" s="3" t="s">
        <v>905</v>
      </c>
      <c r="B26" s="3"/>
      <c r="C26" s="3"/>
      <c r="D26" s="3"/>
      <c r="E26" s="3"/>
      <c r="F26" s="3"/>
    </row>
    <row r="27" customFormat="false" ht="27.75" hidden="false" customHeight="true" outlineLevel="0" collapsed="false">
      <c r="A27" s="4" t="s">
        <v>884</v>
      </c>
      <c r="B27" s="4" t="s">
        <v>885</v>
      </c>
      <c r="C27" s="4" t="s">
        <v>886</v>
      </c>
      <c r="D27" s="4" t="s">
        <v>887</v>
      </c>
      <c r="E27" s="4" t="s">
        <v>888</v>
      </c>
      <c r="F27" s="4" t="s">
        <v>395</v>
      </c>
    </row>
    <row r="28" customFormat="false" ht="21.75" hidden="false" customHeight="true" outlineLevel="0" collapsed="false">
      <c r="A28" s="10" t="s">
        <v>906</v>
      </c>
      <c r="B28" s="17" t="n">
        <f aca="false">'4. Embalagem'!H15</f>
        <v>0</v>
      </c>
      <c r="C28" s="44"/>
      <c r="D28" s="44"/>
      <c r="E28" s="44"/>
      <c r="F28" s="12" t="s">
        <v>907</v>
      </c>
    </row>
    <row r="29" customFormat="false" ht="21.75" hidden="false" customHeight="true" outlineLevel="0" collapsed="false">
      <c r="A29" s="10" t="s">
        <v>908</v>
      </c>
      <c r="B29" s="17" t="n">
        <f aca="false">'3. Formulação'!F35</f>
        <v>0</v>
      </c>
      <c r="C29" s="44"/>
      <c r="D29" s="44"/>
      <c r="E29" s="44"/>
      <c r="F29" s="12" t="s">
        <v>909</v>
      </c>
    </row>
    <row r="30" customFormat="false" ht="21.75" hidden="false" customHeight="true" outlineLevel="0" collapsed="false">
      <c r="A30" s="10" t="s">
        <v>910</v>
      </c>
      <c r="B30" s="17" t="n">
        <f aca="false">'3. Formulação'!B76</f>
        <v>5114</v>
      </c>
      <c r="C30" s="44"/>
      <c r="D30" s="44"/>
      <c r="E30" s="44"/>
      <c r="F30" s="12" t="s">
        <v>909</v>
      </c>
    </row>
    <row r="31" customFormat="false" ht="21.75" hidden="false" customHeight="true" outlineLevel="0" collapsed="false">
      <c r="A31" s="10" t="s">
        <v>911</v>
      </c>
      <c r="B31" s="17" t="n">
        <f aca="false">'4. Embalagem'!G18</f>
        <v>0</v>
      </c>
      <c r="C31" s="44"/>
      <c r="D31" s="44"/>
      <c r="E31" s="44"/>
      <c r="F31" s="12" t="s">
        <v>912</v>
      </c>
    </row>
    <row r="32" customFormat="false" ht="21.75" hidden="false" customHeight="true" outlineLevel="0" collapsed="false">
      <c r="A32" s="10" t="s">
        <v>913</v>
      </c>
      <c r="B32" s="17" t="n">
        <f aca="false">$B$11</f>
        <v>0</v>
      </c>
      <c r="C32" s="44"/>
      <c r="D32" s="44"/>
      <c r="E32" s="44"/>
      <c r="F32" s="12" t="s">
        <v>914</v>
      </c>
    </row>
    <row r="33" customFormat="false" ht="21.75" hidden="false" customHeight="true" outlineLevel="0" collapsed="false">
      <c r="A33" s="38" t="s">
        <v>915</v>
      </c>
      <c r="B33" s="28" t="n">
        <f aca="false">SUM(B28:B32)</f>
        <v>5114</v>
      </c>
      <c r="C33" s="44"/>
      <c r="D33" s="44"/>
      <c r="E33" s="44"/>
      <c r="F33" s="12" t="s">
        <v>916</v>
      </c>
    </row>
    <row r="34" customFormat="false" ht="21.75" hidden="false" customHeight="true" outlineLevel="0" collapsed="false">
      <c r="A34" s="10" t="s">
        <v>917</v>
      </c>
      <c r="B34" s="28" t="n">
        <f aca="false">-B33</f>
        <v>-5114</v>
      </c>
      <c r="C34" s="28" t="n">
        <f aca="false">C24</f>
        <v>0</v>
      </c>
      <c r="D34" s="28" t="n">
        <f aca="false">D24</f>
        <v>0</v>
      </c>
      <c r="E34" s="28" t="n">
        <f aca="false">E24</f>
        <v>0</v>
      </c>
      <c r="F34" s="12" t="s">
        <v>918</v>
      </c>
    </row>
    <row r="35" customFormat="false" ht="21.75" hidden="false" customHeight="true" outlineLevel="0" collapsed="false">
      <c r="A35" s="38" t="s">
        <v>919</v>
      </c>
      <c r="B35" s="28" t="n">
        <f aca="false">B34</f>
        <v>-5114</v>
      </c>
      <c r="C35" s="28" t="n">
        <f aca="false">B35+C34</f>
        <v>-5114</v>
      </c>
      <c r="D35" s="28" t="n">
        <f aca="false">C35+D34</f>
        <v>-5114</v>
      </c>
      <c r="E35" s="28" t="n">
        <f aca="false">D35+E34</f>
        <v>-5114</v>
      </c>
      <c r="F35" s="12" t="s">
        <v>920</v>
      </c>
    </row>
    <row r="37" customFormat="false" ht="19.5" hidden="false" customHeight="true" outlineLevel="0" collapsed="false">
      <c r="A37" s="3" t="s">
        <v>921</v>
      </c>
      <c r="B37" s="3"/>
      <c r="C37" s="3"/>
      <c r="D37" s="3"/>
      <c r="E37" s="3"/>
      <c r="F37" s="3"/>
    </row>
    <row r="38" customFormat="false" ht="27.75" hidden="false" customHeight="true" outlineLevel="0" collapsed="false">
      <c r="A38" s="4" t="s">
        <v>211</v>
      </c>
      <c r="B38" s="4" t="s">
        <v>922</v>
      </c>
      <c r="C38" s="4"/>
      <c r="D38" s="4"/>
      <c r="E38" s="4"/>
      <c r="F38" s="4" t="s">
        <v>30</v>
      </c>
    </row>
    <row r="39" customFormat="false" ht="27.75" hidden="false" customHeight="true" outlineLevel="0" collapsed="false">
      <c r="A39" s="10" t="s">
        <v>923</v>
      </c>
      <c r="B39" s="28" t="n">
        <f aca="false">IFERROR(NPV($B$10,C34:E34)+B34,0)</f>
        <v>-5114</v>
      </c>
      <c r="C39" s="32"/>
      <c r="D39" s="32"/>
      <c r="E39" s="32"/>
      <c r="F39" s="12" t="s">
        <v>924</v>
      </c>
    </row>
    <row r="40" customFormat="false" ht="27.75" hidden="false" customHeight="true" outlineLevel="0" collapsed="false">
      <c r="A40" s="10" t="s">
        <v>925</v>
      </c>
      <c r="B40" s="30" t="str">
        <f aca="false">IFERROR(IRR(B34:E34),"n/d")</f>
        <v>n/d</v>
      </c>
      <c r="C40" s="32"/>
      <c r="D40" s="32"/>
      <c r="E40" s="32"/>
      <c r="F40" s="12" t="s">
        <v>926</v>
      </c>
    </row>
    <row r="41" customFormat="false" ht="27.75" hidden="false" customHeight="true" outlineLevel="0" collapsed="false">
      <c r="A41" s="10" t="s">
        <v>241</v>
      </c>
      <c r="B41" s="33" t="str">
        <f aca="false">IF(B35&gt;=0,0,IF(C35&gt;=0,IFERROR(-B34/C34,""),IF(D35&gt;=0,IFERROR(1-C35/D34,""),IF(E35&gt;=0,IFERROR(2-D35/E34,""),"Acima de 3 anos"))))</f>
        <v>Acima de 3 anos</v>
      </c>
      <c r="C41" s="32"/>
      <c r="D41" s="32"/>
      <c r="E41" s="32"/>
      <c r="F41" s="12" t="s">
        <v>927</v>
      </c>
    </row>
    <row r="42" customFormat="false" ht="27.75" hidden="false" customHeight="true" outlineLevel="0" collapsed="false">
      <c r="A42" s="10" t="s">
        <v>928</v>
      </c>
      <c r="B42" s="30" t="n">
        <f aca="false">IF(B33=0,0,(SUM(C34:E34)-B33)/B33)</f>
        <v>-1</v>
      </c>
      <c r="C42" s="32"/>
      <c r="D42" s="32"/>
      <c r="E42" s="32"/>
      <c r="F42" s="12" t="s">
        <v>929</v>
      </c>
    </row>
    <row r="43" customFormat="false" ht="27.75" hidden="false" customHeight="true" outlineLevel="0" collapsed="false">
      <c r="A43" s="10" t="s">
        <v>930</v>
      </c>
      <c r="B43" s="5" t="str">
        <f aca="false">IF('1. Briefing'!B67="","Capex não informado no briefing",IF(B33&lt;='1. Briefing'!B67,"Dentro do teto autorizado","ESTOURA o teto autorizado"))</f>
        <v>Capex não informado no briefing</v>
      </c>
      <c r="C43" s="32"/>
      <c r="D43" s="32"/>
      <c r="E43" s="32"/>
      <c r="F43" s="12" t="s">
        <v>931</v>
      </c>
    </row>
    <row r="44" customFormat="false" ht="27.75" hidden="false" customHeight="true" outlineLevel="0" collapsed="false">
      <c r="A44" s="10" t="s">
        <v>932</v>
      </c>
      <c r="B44" s="30" t="n">
        <f aca="false">IF(C19=0,0,C21/C19)</f>
        <v>0</v>
      </c>
      <c r="C44" s="32"/>
      <c r="D44" s="32"/>
      <c r="E44" s="32"/>
      <c r="F44" s="12" t="s">
        <v>933</v>
      </c>
    </row>
  </sheetData>
  <mergeCells count="6">
    <mergeCell ref="A1:F1"/>
    <mergeCell ref="A2:F2"/>
    <mergeCell ref="A4:F4"/>
    <mergeCell ref="A14:F14"/>
    <mergeCell ref="A26:F26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008C"/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30" hidden="false" customHeight="true" outlineLevel="0" collapsed="false">
      <c r="A1" s="1" t="s">
        <v>934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935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936</v>
      </c>
      <c r="B4" s="3"/>
      <c r="C4" s="3"/>
      <c r="D4" s="3"/>
      <c r="E4" s="3"/>
    </row>
    <row r="5" customFormat="false" ht="27.75" hidden="false" customHeight="true" outlineLevel="0" collapsed="false">
      <c r="A5" s="4" t="s">
        <v>937</v>
      </c>
      <c r="B5" s="4" t="s">
        <v>938</v>
      </c>
      <c r="C5" s="4" t="s">
        <v>939</v>
      </c>
      <c r="D5" s="4" t="s">
        <v>940</v>
      </c>
      <c r="E5" s="4" t="s">
        <v>941</v>
      </c>
    </row>
    <row r="6" customFormat="false" ht="30" hidden="false" customHeight="true" outlineLevel="0" collapsed="false">
      <c r="A6" s="10" t="s">
        <v>942</v>
      </c>
      <c r="B6" s="16" t="n">
        <v>0.15</v>
      </c>
      <c r="C6" s="14"/>
      <c r="D6" s="33" t="str">
        <f aca="false">IF(C6="","",B6*C6)</f>
        <v/>
      </c>
      <c r="E6" s="12" t="s">
        <v>943</v>
      </c>
    </row>
    <row r="7" customFormat="false" ht="30" hidden="false" customHeight="true" outlineLevel="0" collapsed="false">
      <c r="A7" s="10" t="s">
        <v>944</v>
      </c>
      <c r="B7" s="16" t="n">
        <v>0.15</v>
      </c>
      <c r="C7" s="14"/>
      <c r="D7" s="33" t="str">
        <f aca="false">IF(C7="","",B7*C7)</f>
        <v/>
      </c>
      <c r="E7" s="12" t="s">
        <v>945</v>
      </c>
    </row>
    <row r="8" customFormat="false" ht="30" hidden="false" customHeight="true" outlineLevel="0" collapsed="false">
      <c r="A8" s="10" t="s">
        <v>946</v>
      </c>
      <c r="B8" s="16" t="n">
        <v>0.15</v>
      </c>
      <c r="C8" s="14"/>
      <c r="D8" s="33" t="str">
        <f aca="false">IF(C8="","",B8*C8)</f>
        <v/>
      </c>
      <c r="E8" s="12" t="s">
        <v>947</v>
      </c>
    </row>
    <row r="9" customFormat="false" ht="30" hidden="false" customHeight="true" outlineLevel="0" collapsed="false">
      <c r="A9" s="10" t="s">
        <v>948</v>
      </c>
      <c r="B9" s="16" t="n">
        <v>0.1</v>
      </c>
      <c r="C9" s="14"/>
      <c r="D9" s="33" t="str">
        <f aca="false">IF(C9="","",B9*C9)</f>
        <v/>
      </c>
      <c r="E9" s="12" t="s">
        <v>949</v>
      </c>
    </row>
    <row r="10" customFormat="false" ht="30" hidden="false" customHeight="true" outlineLevel="0" collapsed="false">
      <c r="A10" s="10" t="s">
        <v>950</v>
      </c>
      <c r="B10" s="16" t="n">
        <v>0.1</v>
      </c>
      <c r="C10" s="14"/>
      <c r="D10" s="33" t="str">
        <f aca="false">IF(C10="","",B10*C10)</f>
        <v/>
      </c>
      <c r="E10" s="12" t="s">
        <v>951</v>
      </c>
    </row>
    <row r="11" customFormat="false" ht="30" hidden="false" customHeight="true" outlineLevel="0" collapsed="false">
      <c r="A11" s="10" t="s">
        <v>952</v>
      </c>
      <c r="B11" s="16" t="n">
        <v>0.08</v>
      </c>
      <c r="C11" s="14"/>
      <c r="D11" s="33" t="str">
        <f aca="false">IF(C11="","",B11*C11)</f>
        <v/>
      </c>
      <c r="E11" s="12" t="s">
        <v>953</v>
      </c>
    </row>
    <row r="12" customFormat="false" ht="30" hidden="false" customHeight="true" outlineLevel="0" collapsed="false">
      <c r="A12" s="10" t="s">
        <v>954</v>
      </c>
      <c r="B12" s="16" t="n">
        <v>0.07</v>
      </c>
      <c r="C12" s="14"/>
      <c r="D12" s="33" t="str">
        <f aca="false">IF(C12="","",B12*C12)</f>
        <v/>
      </c>
      <c r="E12" s="12" t="s">
        <v>955</v>
      </c>
    </row>
    <row r="13" customFormat="false" ht="30" hidden="false" customHeight="true" outlineLevel="0" collapsed="false">
      <c r="A13" s="10" t="s">
        <v>956</v>
      </c>
      <c r="B13" s="16" t="n">
        <v>0.1</v>
      </c>
      <c r="C13" s="14"/>
      <c r="D13" s="33" t="str">
        <f aca="false">IF(C13="","",B13*C13)</f>
        <v/>
      </c>
      <c r="E13" s="12" t="s">
        <v>957</v>
      </c>
    </row>
    <row r="14" customFormat="false" ht="30" hidden="false" customHeight="true" outlineLevel="0" collapsed="false">
      <c r="A14" s="10" t="s">
        <v>958</v>
      </c>
      <c r="B14" s="16" t="n">
        <v>0.05</v>
      </c>
      <c r="C14" s="14"/>
      <c r="D14" s="33" t="str">
        <f aca="false">IF(C14="","",B14*C14)</f>
        <v/>
      </c>
      <c r="E14" s="12" t="s">
        <v>959</v>
      </c>
    </row>
    <row r="15" customFormat="false" ht="30" hidden="false" customHeight="true" outlineLevel="0" collapsed="false">
      <c r="A15" s="10" t="s">
        <v>960</v>
      </c>
      <c r="B15" s="16" t="n">
        <v>0.05</v>
      </c>
      <c r="C15" s="14"/>
      <c r="D15" s="33" t="str">
        <f aca="false">IF(C15="","",B15*C15)</f>
        <v/>
      </c>
      <c r="E15" s="12" t="s">
        <v>961</v>
      </c>
    </row>
    <row r="16" customFormat="false" ht="15" hidden="false" customHeight="false" outlineLevel="0" collapsed="false">
      <c r="A16" s="29" t="s">
        <v>962</v>
      </c>
      <c r="B16" s="30" t="n">
        <f aca="false">SUM(B6:B15)</f>
        <v>1</v>
      </c>
      <c r="C16" s="32"/>
      <c r="D16" s="32"/>
      <c r="E16" s="5" t="str">
        <f aca="false">IF(ABS(B16-1)&lt;0.0001,"OK — pesos somam 100%","AJUSTAR — os pesos precisam somar 100%")</f>
        <v>OK — pesos somam 100%</v>
      </c>
    </row>
    <row r="17" customFormat="false" ht="24" hidden="false" customHeight="true" outlineLevel="0" collapsed="false">
      <c r="A17" s="41" t="s">
        <v>963</v>
      </c>
      <c r="B17" s="32"/>
      <c r="C17" s="25" t="n">
        <f aca="false">COUNT(C6:C15)</f>
        <v>0</v>
      </c>
      <c r="D17" s="33" t="n">
        <f aca="false">IFERROR(SUMPRODUCT(B6:B15,C6:C15),0)</f>
        <v>0</v>
      </c>
      <c r="E17" s="12" t="s">
        <v>964</v>
      </c>
    </row>
    <row r="18" customFormat="false" ht="24" hidden="false" customHeight="true" outlineLevel="0" collapsed="false">
      <c r="A18" s="41" t="s">
        <v>965</v>
      </c>
      <c r="B18" s="36" t="str">
        <f aca="false">IF(COUNT(C6:C15)&lt;10,"Incompleto — pontue todos os critérios",IF(D17&gt;=4,"PRIORIDADE MÁXIMA — entra na fila agora",IF(D17&gt;=3.2,"APROVADO — entra na fila conforme capacidade",IF(D17&gt;=2.5,"REVISAR — reformular conceito, custo ou escopo","DESCARTAR — não justifica o esforço"))))</f>
        <v>Incompleto — pontue todos os critérios</v>
      </c>
      <c r="C18" s="36"/>
      <c r="D18" s="36"/>
      <c r="E18" s="12" t="s">
        <v>966</v>
      </c>
    </row>
    <row r="20" customFormat="false" ht="19.5" hidden="false" customHeight="true" outlineLevel="0" collapsed="false">
      <c r="A20" s="3" t="s">
        <v>967</v>
      </c>
      <c r="B20" s="3"/>
      <c r="C20" s="3"/>
      <c r="D20" s="3"/>
      <c r="E20" s="3"/>
    </row>
    <row r="21" customFormat="false" ht="27.75" hidden="false" customHeight="true" outlineLevel="0" collapsed="false">
      <c r="A21" s="4" t="s">
        <v>968</v>
      </c>
      <c r="B21" s="4" t="s">
        <v>969</v>
      </c>
      <c r="C21" s="4" t="s">
        <v>970</v>
      </c>
      <c r="D21" s="4" t="s">
        <v>241</v>
      </c>
      <c r="E21" s="4" t="s">
        <v>355</v>
      </c>
    </row>
    <row r="22" customFormat="false" ht="15" hidden="false" customHeight="false" outlineLevel="0" collapsed="false">
      <c r="A22" s="10" t="s">
        <v>971</v>
      </c>
      <c r="B22" s="33" t="n">
        <f aca="false">D17</f>
        <v>0</v>
      </c>
      <c r="C22" s="17" t="n">
        <f aca="false">'6. Viabilidade'!B33</f>
        <v>5114</v>
      </c>
      <c r="D22" s="22" t="str">
        <f aca="false">'6. Viabilidade'!B41</f>
        <v>Acima de 3 anos</v>
      </c>
      <c r="E22" s="5" t="str">
        <f aca="false">B18</f>
        <v>Incompleto — pontue todos os critérios</v>
      </c>
    </row>
    <row r="23" customFormat="false" ht="15" hidden="false" customHeight="false" outlineLevel="0" collapsed="false">
      <c r="A23" s="11"/>
      <c r="B23" s="26"/>
      <c r="C23" s="15"/>
      <c r="D23" s="26"/>
      <c r="E23" s="11"/>
    </row>
    <row r="24" customFormat="false" ht="15" hidden="false" customHeight="false" outlineLevel="0" collapsed="false">
      <c r="A24" s="11"/>
      <c r="B24" s="26"/>
      <c r="C24" s="15"/>
      <c r="D24" s="26"/>
      <c r="E24" s="11"/>
    </row>
    <row r="25" customFormat="false" ht="15" hidden="false" customHeight="false" outlineLevel="0" collapsed="false">
      <c r="A25" s="11"/>
      <c r="B25" s="26"/>
      <c r="C25" s="15"/>
      <c r="D25" s="26"/>
      <c r="E25" s="11"/>
    </row>
    <row r="26" customFormat="false" ht="15" hidden="false" customHeight="false" outlineLevel="0" collapsed="false">
      <c r="A26" s="11"/>
      <c r="B26" s="26"/>
      <c r="C26" s="15"/>
      <c r="D26" s="26"/>
      <c r="E26" s="11"/>
    </row>
    <row r="27" customFormat="false" ht="15" hidden="false" customHeight="false" outlineLevel="0" collapsed="false">
      <c r="A27" s="11"/>
      <c r="B27" s="26"/>
      <c r="C27" s="15"/>
      <c r="D27" s="26"/>
      <c r="E27" s="11"/>
    </row>
    <row r="28" customFormat="false" ht="15" hidden="false" customHeight="false" outlineLevel="0" collapsed="false">
      <c r="A28" s="11"/>
      <c r="B28" s="26"/>
      <c r="C28" s="15"/>
      <c r="D28" s="26"/>
      <c r="E28" s="11"/>
    </row>
    <row r="29" customFormat="false" ht="19.4" hidden="false" customHeight="false" outlineLevel="0" collapsed="false">
      <c r="A29" s="29" t="s">
        <v>972</v>
      </c>
      <c r="B29" s="25" t="n">
        <f aca="false">IFERROR(RANK(B22,B22:B28,0),0)</f>
        <v>1</v>
      </c>
      <c r="C29" s="32"/>
      <c r="D29" s="32"/>
      <c r="E29" s="12" t="s">
        <v>973</v>
      </c>
    </row>
  </sheetData>
  <mergeCells count="5">
    <mergeCell ref="A1:E1"/>
    <mergeCell ref="A2:E2"/>
    <mergeCell ref="A4:E4"/>
    <mergeCell ref="B18:D18"/>
    <mergeCell ref="A20:E20"/>
  </mergeCells>
  <dataValidations count="1">
    <dataValidation allowBlank="true" errorStyle="stop" operator="between" showDropDown="false" showErrorMessage="false" showInputMessage="false" sqref="C6:C15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008C"/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7" min="7" style="0" width="22"/>
    <col collapsed="false" customWidth="true" hidden="false" outlineLevel="0" max="9" min="8" style="0" width="14"/>
  </cols>
  <sheetData>
    <row r="1" customFormat="false" ht="30" hidden="false" customHeight="true" outlineLevel="0" collapsed="false">
      <c r="A1" s="1" t="s">
        <v>974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975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976</v>
      </c>
      <c r="B4" s="3"/>
      <c r="C4" s="3"/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A5" s="4"/>
      <c r="B5" s="4" t="s">
        <v>328</v>
      </c>
      <c r="C5" s="4" t="s">
        <v>212</v>
      </c>
      <c r="D5" s="4"/>
      <c r="E5" s="4"/>
      <c r="F5" s="4"/>
      <c r="G5" s="4" t="s">
        <v>395</v>
      </c>
      <c r="H5" s="4"/>
      <c r="I5" s="4"/>
    </row>
    <row r="6" customFormat="false" ht="15" hidden="false" customHeight="true" outlineLevel="0" collapsed="false">
      <c r="A6" s="45"/>
      <c r="B6" s="10" t="s">
        <v>977</v>
      </c>
      <c r="C6" s="13"/>
      <c r="D6" s="32"/>
      <c r="E6" s="32"/>
      <c r="F6" s="32"/>
      <c r="G6" s="35" t="s">
        <v>978</v>
      </c>
      <c r="H6" s="35"/>
      <c r="I6" s="35"/>
    </row>
    <row r="8" customFormat="false" ht="19.5" hidden="false" customHeight="true" outlineLevel="0" collapsed="false">
      <c r="A8" s="3" t="s">
        <v>979</v>
      </c>
      <c r="B8" s="3"/>
      <c r="C8" s="3"/>
      <c r="D8" s="3"/>
      <c r="E8" s="3"/>
      <c r="F8" s="3"/>
      <c r="G8" s="3"/>
      <c r="H8" s="3"/>
      <c r="I8" s="3"/>
    </row>
    <row r="9" customFormat="false" ht="27.75" hidden="false" customHeight="true" outlineLevel="0" collapsed="false">
      <c r="A9" s="4" t="s">
        <v>3</v>
      </c>
      <c r="B9" s="4" t="s">
        <v>980</v>
      </c>
      <c r="C9" s="4" t="s">
        <v>981</v>
      </c>
      <c r="D9" s="4" t="s">
        <v>982</v>
      </c>
      <c r="E9" s="4" t="s">
        <v>983</v>
      </c>
      <c r="F9" s="4" t="s">
        <v>984</v>
      </c>
      <c r="G9" s="4" t="s">
        <v>356</v>
      </c>
      <c r="H9" s="4" t="s">
        <v>985</v>
      </c>
      <c r="I9" s="4" t="s">
        <v>986</v>
      </c>
    </row>
    <row r="10" customFormat="false" ht="21.75" hidden="false" customHeight="true" outlineLevel="0" collapsed="false">
      <c r="A10" s="5" t="n">
        <v>1</v>
      </c>
      <c r="B10" s="10" t="s">
        <v>987</v>
      </c>
      <c r="C10" s="12" t="s">
        <v>988</v>
      </c>
      <c r="D10" s="46" t="str">
        <f aca="false">IF($C$6="","",$C$6)</f>
        <v/>
      </c>
      <c r="E10" s="14" t="n">
        <v>10</v>
      </c>
      <c r="F10" s="46" t="str">
        <f aca="false">IF(OR(D10="",E10=""),"",D10+E10)</f>
        <v/>
      </c>
      <c r="G10" s="11"/>
      <c r="H10" s="16" t="n">
        <v>0</v>
      </c>
      <c r="I10" s="11"/>
    </row>
    <row r="11" customFormat="false" ht="21.75" hidden="false" customHeight="true" outlineLevel="0" collapsed="false">
      <c r="A11" s="5" t="n">
        <v>2</v>
      </c>
      <c r="B11" s="10" t="s">
        <v>989</v>
      </c>
      <c r="C11" s="12" t="s">
        <v>990</v>
      </c>
      <c r="D11" s="46" t="str">
        <f aca="false">IF(F10="","",F10+1)</f>
        <v/>
      </c>
      <c r="E11" s="14" t="n">
        <v>20</v>
      </c>
      <c r="F11" s="46" t="str">
        <f aca="false">IF(OR(D11="",E11=""),"",D11+E11)</f>
        <v/>
      </c>
      <c r="G11" s="11"/>
      <c r="H11" s="16" t="n">
        <v>0</v>
      </c>
      <c r="I11" s="11"/>
    </row>
    <row r="12" customFormat="false" ht="21.75" hidden="false" customHeight="true" outlineLevel="0" collapsed="false">
      <c r="A12" s="5" t="n">
        <v>3</v>
      </c>
      <c r="B12" s="10" t="s">
        <v>991</v>
      </c>
      <c r="C12" s="12" t="s">
        <v>990</v>
      </c>
      <c r="D12" s="46" t="str">
        <f aca="false">IF(F11="","",F11+1)</f>
        <v/>
      </c>
      <c r="E12" s="14" t="n">
        <v>25</v>
      </c>
      <c r="F12" s="46" t="str">
        <f aca="false">IF(OR(D12="",E12=""),"",D12+E12)</f>
        <v/>
      </c>
      <c r="G12" s="11"/>
      <c r="H12" s="16" t="n">
        <v>0</v>
      </c>
      <c r="I12" s="11"/>
    </row>
    <row r="13" customFormat="false" ht="21.75" hidden="false" customHeight="true" outlineLevel="0" collapsed="false">
      <c r="A13" s="5" t="n">
        <v>4</v>
      </c>
      <c r="B13" s="10" t="s">
        <v>992</v>
      </c>
      <c r="C13" s="12" t="s">
        <v>993</v>
      </c>
      <c r="D13" s="46" t="str">
        <f aca="false">IF(F12="","",F12+1)</f>
        <v/>
      </c>
      <c r="E13" s="14" t="n">
        <v>45</v>
      </c>
      <c r="F13" s="46" t="str">
        <f aca="false">IF(OR(D13="",E13=""),"",D13+E13)</f>
        <v/>
      </c>
      <c r="G13" s="11"/>
      <c r="H13" s="16" t="n">
        <v>0</v>
      </c>
      <c r="I13" s="11"/>
    </row>
    <row r="14" customFormat="false" ht="21.75" hidden="false" customHeight="true" outlineLevel="0" collapsed="false">
      <c r="A14" s="5" t="n">
        <v>5</v>
      </c>
      <c r="B14" s="10" t="s">
        <v>994</v>
      </c>
      <c r="C14" s="12" t="s">
        <v>993</v>
      </c>
      <c r="D14" s="46" t="str">
        <f aca="false">IF(F13="","",F13+1)</f>
        <v/>
      </c>
      <c r="E14" s="14" t="n">
        <v>30</v>
      </c>
      <c r="F14" s="46" t="str">
        <f aca="false">IF(OR(D14="",E14=""),"",D14+E14)</f>
        <v/>
      </c>
      <c r="G14" s="11"/>
      <c r="H14" s="16" t="n">
        <v>0</v>
      </c>
      <c r="I14" s="11"/>
    </row>
    <row r="15" customFormat="false" ht="21.75" hidden="false" customHeight="true" outlineLevel="0" collapsed="false">
      <c r="A15" s="5" t="n">
        <v>6</v>
      </c>
      <c r="B15" s="10" t="s">
        <v>995</v>
      </c>
      <c r="C15" s="12" t="s">
        <v>996</v>
      </c>
      <c r="D15" s="46" t="str">
        <f aca="false">IF(F14="","",F14+1)</f>
        <v/>
      </c>
      <c r="E15" s="14" t="n">
        <v>15</v>
      </c>
      <c r="F15" s="46" t="str">
        <f aca="false">IF(OR(D15="",E15=""),"",D15+E15)</f>
        <v/>
      </c>
      <c r="G15" s="11"/>
      <c r="H15" s="16" t="n">
        <v>0</v>
      </c>
      <c r="I15" s="11"/>
    </row>
    <row r="16" customFormat="false" ht="21.75" hidden="false" customHeight="true" outlineLevel="0" collapsed="false">
      <c r="A16" s="5" t="n">
        <v>7</v>
      </c>
      <c r="B16" s="10" t="s">
        <v>997</v>
      </c>
      <c r="C16" s="12" t="s">
        <v>998</v>
      </c>
      <c r="D16" s="46" t="str">
        <f aca="false">IF(F15="","",F15+1)</f>
        <v/>
      </c>
      <c r="E16" s="14" t="n">
        <v>10</v>
      </c>
      <c r="F16" s="46" t="str">
        <f aca="false">IF(OR(D16="",E16=""),"",D16+E16)</f>
        <v/>
      </c>
      <c r="G16" s="11"/>
      <c r="H16" s="16" t="n">
        <v>0</v>
      </c>
      <c r="I16" s="11"/>
    </row>
    <row r="17" customFormat="false" ht="21.75" hidden="false" customHeight="true" outlineLevel="0" collapsed="false">
      <c r="A17" s="5" t="n">
        <v>8</v>
      </c>
      <c r="B17" s="10" t="s">
        <v>999</v>
      </c>
      <c r="C17" s="12" t="s">
        <v>1000</v>
      </c>
      <c r="D17" s="46" t="str">
        <f aca="false">IF(F16="","",F16+1)</f>
        <v/>
      </c>
      <c r="E17" s="14" t="n">
        <v>90</v>
      </c>
      <c r="F17" s="46" t="str">
        <f aca="false">IF(OR(D17="",E17=""),"",D17+E17)</f>
        <v/>
      </c>
      <c r="G17" s="11"/>
      <c r="H17" s="16" t="n">
        <v>0</v>
      </c>
      <c r="I17" s="11"/>
    </row>
    <row r="18" customFormat="false" ht="21.75" hidden="false" customHeight="true" outlineLevel="0" collapsed="false">
      <c r="A18" s="5" t="n">
        <v>9</v>
      </c>
      <c r="B18" s="10" t="s">
        <v>1001</v>
      </c>
      <c r="C18" s="12" t="s">
        <v>1002</v>
      </c>
      <c r="D18" s="46" t="str">
        <f aca="false">IF(F17="","",F17+1)</f>
        <v/>
      </c>
      <c r="E18" s="14" t="n">
        <v>45</v>
      </c>
      <c r="F18" s="46" t="str">
        <f aca="false">IF(OR(D18="",E18=""),"",D18+E18)</f>
        <v/>
      </c>
      <c r="G18" s="11"/>
      <c r="H18" s="16" t="n">
        <v>0</v>
      </c>
      <c r="I18" s="11"/>
    </row>
    <row r="19" customFormat="false" ht="21.75" hidden="false" customHeight="true" outlineLevel="0" collapsed="false">
      <c r="A19" s="5" t="n">
        <v>10</v>
      </c>
      <c r="B19" s="10" t="s">
        <v>1003</v>
      </c>
      <c r="C19" s="12" t="s">
        <v>1004</v>
      </c>
      <c r="D19" s="46" t="str">
        <f aca="false">IF(F18="","",F18+1)</f>
        <v/>
      </c>
      <c r="E19" s="14" t="n">
        <v>40</v>
      </c>
      <c r="F19" s="46" t="str">
        <f aca="false">IF(OR(D19="",E19=""),"",D19+E19)</f>
        <v/>
      </c>
      <c r="G19" s="11"/>
      <c r="H19" s="16" t="n">
        <v>0</v>
      </c>
      <c r="I19" s="11"/>
    </row>
    <row r="20" customFormat="false" ht="21.75" hidden="false" customHeight="true" outlineLevel="0" collapsed="false">
      <c r="A20" s="5" t="n">
        <v>11</v>
      </c>
      <c r="B20" s="10" t="s">
        <v>1005</v>
      </c>
      <c r="C20" s="12" t="s">
        <v>1006</v>
      </c>
      <c r="D20" s="46" t="str">
        <f aca="false">IF(F19="","",F19+1)</f>
        <v/>
      </c>
      <c r="E20" s="14" t="n">
        <v>60</v>
      </c>
      <c r="F20" s="46" t="str">
        <f aca="false">IF(OR(D20="",E20=""),"",D20+E20)</f>
        <v/>
      </c>
      <c r="G20" s="11"/>
      <c r="H20" s="16" t="n">
        <v>0</v>
      </c>
      <c r="I20" s="11"/>
    </row>
    <row r="21" customFormat="false" ht="21.75" hidden="false" customHeight="true" outlineLevel="0" collapsed="false">
      <c r="A21" s="5" t="n">
        <v>12</v>
      </c>
      <c r="B21" s="10" t="s">
        <v>1007</v>
      </c>
      <c r="C21" s="12" t="s">
        <v>1008</v>
      </c>
      <c r="D21" s="46" t="str">
        <f aca="false">IF(F20="","",F20+1)</f>
        <v/>
      </c>
      <c r="E21" s="14" t="n">
        <v>20</v>
      </c>
      <c r="F21" s="46" t="str">
        <f aca="false">IF(OR(D21="",E21=""),"",D21+E21)</f>
        <v/>
      </c>
      <c r="G21" s="11"/>
      <c r="H21" s="16" t="n">
        <v>0</v>
      </c>
      <c r="I21" s="11"/>
    </row>
    <row r="22" customFormat="false" ht="21.75" hidden="false" customHeight="true" outlineLevel="0" collapsed="false">
      <c r="A22" s="5" t="n">
        <v>13</v>
      </c>
      <c r="B22" s="10" t="s">
        <v>1009</v>
      </c>
      <c r="C22" s="12" t="s">
        <v>1010</v>
      </c>
      <c r="D22" s="46" t="str">
        <f aca="false">IF(F21="","",F21+1)</f>
        <v/>
      </c>
      <c r="E22" s="14" t="n">
        <v>15</v>
      </c>
      <c r="F22" s="46" t="str">
        <f aca="false">IF(OR(D22="",E22=""),"",D22+E22)</f>
        <v/>
      </c>
      <c r="G22" s="11"/>
      <c r="H22" s="16" t="n">
        <v>0</v>
      </c>
      <c r="I22" s="11"/>
    </row>
    <row r="23" customFormat="false" ht="21.75" hidden="false" customHeight="true" outlineLevel="0" collapsed="false">
      <c r="A23" s="5" t="n">
        <v>14</v>
      </c>
      <c r="B23" s="10" t="s">
        <v>1011</v>
      </c>
      <c r="C23" s="12" t="s">
        <v>1012</v>
      </c>
      <c r="D23" s="46" t="str">
        <f aca="false">IF(F22="","",F22+1)</f>
        <v/>
      </c>
      <c r="E23" s="14" t="n">
        <v>20</v>
      </c>
      <c r="F23" s="46" t="str">
        <f aca="false">IF(OR(D23="",E23=""),"",D23+E23)</f>
        <v/>
      </c>
      <c r="G23" s="11"/>
      <c r="H23" s="16" t="n">
        <v>0</v>
      </c>
      <c r="I23" s="11"/>
    </row>
    <row r="24" customFormat="false" ht="21.75" hidden="false" customHeight="true" outlineLevel="0" collapsed="false">
      <c r="A24" s="5" t="n">
        <v>15</v>
      </c>
      <c r="B24" s="10" t="s">
        <v>1013</v>
      </c>
      <c r="C24" s="12" t="s">
        <v>1014</v>
      </c>
      <c r="D24" s="46" t="str">
        <f aca="false">IF(F23="","",F23+1)</f>
        <v/>
      </c>
      <c r="E24" s="14" t="n">
        <v>30</v>
      </c>
      <c r="F24" s="46" t="str">
        <f aca="false">IF(OR(D24="",E24=""),"",D24+E24)</f>
        <v/>
      </c>
      <c r="G24" s="11"/>
      <c r="H24" s="16" t="n">
        <v>0</v>
      </c>
      <c r="I24" s="11"/>
    </row>
    <row r="25" customFormat="false" ht="21.75" hidden="false" customHeight="true" outlineLevel="0" collapsed="false">
      <c r="A25" s="5" t="n">
        <v>16</v>
      </c>
      <c r="B25" s="10" t="s">
        <v>1015</v>
      </c>
      <c r="C25" s="12" t="s">
        <v>1016</v>
      </c>
      <c r="D25" s="46" t="str">
        <f aca="false">IF(F24="","",F24+1)</f>
        <v/>
      </c>
      <c r="E25" s="14" t="n">
        <v>90</v>
      </c>
      <c r="F25" s="46" t="str">
        <f aca="false">IF(OR(D25="",E25=""),"",D25+E25)</f>
        <v/>
      </c>
      <c r="G25" s="11"/>
      <c r="H25" s="16" t="n">
        <v>0</v>
      </c>
      <c r="I25" s="11"/>
    </row>
    <row r="26" customFormat="false" ht="15" hidden="false" customHeight="false" outlineLevel="0" collapsed="false">
      <c r="A26" s="32"/>
      <c r="B26" s="29" t="s">
        <v>1017</v>
      </c>
      <c r="C26" s="32"/>
      <c r="D26" s="32"/>
      <c r="E26" s="25" t="n">
        <f aca="false">SUM(E10:E25)</f>
        <v>565</v>
      </c>
      <c r="F26" s="46" t="str">
        <f aca="false">IF(F25="","",F25)</f>
        <v/>
      </c>
      <c r="G26" s="12" t="s">
        <v>1018</v>
      </c>
      <c r="H26" s="30" t="n">
        <f aca="false">IFERROR(AVERAGE(H10:H25),0)</f>
        <v>0</v>
      </c>
      <c r="I26" s="32"/>
    </row>
    <row r="27" customFormat="false" ht="15" hidden="false" customHeight="false" outlineLevel="0" collapsed="false">
      <c r="A27" s="32"/>
      <c r="B27" s="29" t="s">
        <v>1019</v>
      </c>
      <c r="C27" s="32"/>
      <c r="D27" s="32"/>
      <c r="E27" s="33" t="n">
        <f aca="false">IFERROR(SUM(E10:E25)/30,0)</f>
        <v>18.8333333333333</v>
      </c>
      <c r="F27" s="32"/>
      <c r="G27" s="32"/>
      <c r="H27" s="32"/>
      <c r="I27" s="32"/>
    </row>
    <row r="28" customFormat="false" ht="15" hidden="false" customHeight="true" outlineLevel="0" collapsed="false">
      <c r="A28" s="32"/>
      <c r="B28" s="29" t="s">
        <v>247</v>
      </c>
      <c r="C28" s="32"/>
      <c r="D28" s="32"/>
      <c r="E28" s="32"/>
      <c r="F28" s="46" t="str">
        <f aca="false">IF(F24="","",F24)</f>
        <v/>
      </c>
      <c r="G28" s="35" t="s">
        <v>1020</v>
      </c>
      <c r="H28" s="35"/>
      <c r="I28" s="35"/>
    </row>
    <row r="29" customFormat="false" ht="15" hidden="false" customHeight="true" outlineLevel="0" collapsed="false">
      <c r="A29" s="32"/>
      <c r="B29" s="29" t="s">
        <v>1021</v>
      </c>
      <c r="C29" s="32"/>
      <c r="D29" s="32"/>
      <c r="E29" s="32"/>
      <c r="F29" s="25" t="str">
        <f aca="true">IF(F28="","",F28-TODAY())</f>
        <v/>
      </c>
      <c r="G29" s="35" t="s">
        <v>1022</v>
      </c>
      <c r="H29" s="35"/>
      <c r="I29" s="35"/>
    </row>
    <row r="31" customFormat="false" ht="19.5" hidden="false" customHeight="true" outlineLevel="0" collapsed="false">
      <c r="A31" s="3" t="s">
        <v>1023</v>
      </c>
      <c r="B31" s="3"/>
      <c r="C31" s="3"/>
      <c r="D31" s="3"/>
      <c r="E31" s="3"/>
      <c r="F31" s="3"/>
      <c r="G31" s="3"/>
      <c r="H31" s="3"/>
      <c r="I31" s="3"/>
    </row>
    <row r="32" customFormat="false" ht="21.75" hidden="false" customHeight="true" outlineLevel="0" collapsed="false">
      <c r="A32" s="47" t="s">
        <v>1024</v>
      </c>
      <c r="B32" s="47"/>
      <c r="C32" s="47"/>
      <c r="D32" s="47"/>
      <c r="E32" s="47"/>
      <c r="F32" s="47"/>
      <c r="G32" s="47"/>
      <c r="H32" s="47"/>
      <c r="I32" s="47"/>
    </row>
    <row r="33" customFormat="false" ht="15" hidden="false" customHeight="false" outlineLevel="0" collapsed="false">
      <c r="A33" s="47"/>
      <c r="B33" s="47"/>
      <c r="C33" s="47"/>
      <c r="D33" s="47"/>
      <c r="E33" s="47"/>
      <c r="F33" s="47"/>
      <c r="G33" s="47"/>
      <c r="H33" s="47"/>
      <c r="I33" s="47"/>
    </row>
    <row r="34" customFormat="false" ht="15" hidden="false" customHeight="false" outlineLevel="0" collapsed="false">
      <c r="A34" s="47"/>
      <c r="B34" s="47"/>
      <c r="C34" s="47"/>
      <c r="D34" s="47"/>
      <c r="E34" s="47"/>
      <c r="F34" s="47"/>
      <c r="G34" s="47"/>
      <c r="H34" s="47"/>
      <c r="I34" s="47"/>
    </row>
    <row r="35" customFormat="false" ht="15" hidden="false" customHeight="false" outlineLevel="0" collapsed="false">
      <c r="A35" s="47"/>
      <c r="B35" s="47"/>
      <c r="C35" s="47"/>
      <c r="D35" s="47"/>
      <c r="E35" s="47"/>
      <c r="F35" s="47"/>
      <c r="G35" s="47"/>
      <c r="H35" s="47"/>
      <c r="I35" s="47"/>
    </row>
  </sheetData>
  <mergeCells count="9">
    <mergeCell ref="A1:I1"/>
    <mergeCell ref="A2:I2"/>
    <mergeCell ref="A4:I4"/>
    <mergeCell ref="G6:I6"/>
    <mergeCell ref="A8:I8"/>
    <mergeCell ref="G28:I28"/>
    <mergeCell ref="G29:I29"/>
    <mergeCell ref="A31:I31"/>
    <mergeCell ref="A32:I35"/>
  </mergeCells>
  <dataValidations count="1">
    <dataValidation allowBlank="true" errorStyle="stop" operator="between" showDropDown="false" showErrorMessage="false" showInputMessage="false" sqref="I10:I25" type="list">
      <formula1>"Não iniciada,Em andamento,Concluída,Atrasada,Bloqueada"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008C"/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8" min="8" style="0" width="46"/>
    <col collapsed="false" customWidth="true" hidden="false" outlineLevel="0" max="9" min="9" style="0" width="20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1025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1026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A4" s="3" t="s">
        <v>1027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27.75" hidden="false" customHeight="true" outlineLevel="0" collapsed="false">
      <c r="A5" s="4" t="s">
        <v>3</v>
      </c>
      <c r="B5" s="4" t="s">
        <v>1028</v>
      </c>
      <c r="C5" s="4" t="s">
        <v>1029</v>
      </c>
      <c r="D5" s="4" t="s">
        <v>1030</v>
      </c>
      <c r="E5" s="4" t="s">
        <v>1031</v>
      </c>
      <c r="F5" s="4" t="s">
        <v>1032</v>
      </c>
      <c r="G5" s="4" t="s">
        <v>1033</v>
      </c>
      <c r="H5" s="4" t="s">
        <v>1034</v>
      </c>
      <c r="I5" s="4" t="s">
        <v>356</v>
      </c>
      <c r="J5" s="4" t="s">
        <v>357</v>
      </c>
    </row>
    <row r="6" customFormat="false" ht="24" hidden="false" customHeight="true" outlineLevel="0" collapsed="false">
      <c r="A6" s="5" t="n">
        <v>1</v>
      </c>
      <c r="B6" s="10" t="s">
        <v>1035</v>
      </c>
      <c r="C6" s="12" t="s">
        <v>1036</v>
      </c>
      <c r="D6" s="14"/>
      <c r="E6" s="14"/>
      <c r="F6" s="25" t="str">
        <f aca="false">IF(OR(D6="",E6=""),"",D6*E6)</f>
        <v/>
      </c>
      <c r="G6" s="5" t="str">
        <f aca="false">IF(F6="","",IF(F6&gt;=15,"CRÍTICO",IF(F6&gt;=9,"ALTO",IF(F6&gt;=4,"MÉDIO","BAIXO"))))</f>
        <v/>
      </c>
      <c r="H6" s="11"/>
      <c r="I6" s="11"/>
      <c r="J6" s="13"/>
    </row>
    <row r="7" customFormat="false" ht="24" hidden="false" customHeight="true" outlineLevel="0" collapsed="false">
      <c r="A7" s="5" t="n">
        <v>2</v>
      </c>
      <c r="B7" s="10" t="s">
        <v>1037</v>
      </c>
      <c r="C7" s="12" t="s">
        <v>1038</v>
      </c>
      <c r="D7" s="14"/>
      <c r="E7" s="14"/>
      <c r="F7" s="25" t="str">
        <f aca="false">IF(OR(D7="",E7=""),"",D7*E7)</f>
        <v/>
      </c>
      <c r="G7" s="5" t="str">
        <f aca="false">IF(F7="","",IF(F7&gt;=15,"CRÍTICO",IF(F7&gt;=9,"ALTO",IF(F7&gt;=4,"MÉDIO","BAIXO"))))</f>
        <v/>
      </c>
      <c r="H7" s="11"/>
      <c r="I7" s="11"/>
      <c r="J7" s="13"/>
    </row>
    <row r="8" customFormat="false" ht="24" hidden="false" customHeight="true" outlineLevel="0" collapsed="false">
      <c r="A8" s="5" t="n">
        <v>3</v>
      </c>
      <c r="B8" s="10" t="s">
        <v>1039</v>
      </c>
      <c r="C8" s="12" t="s">
        <v>1040</v>
      </c>
      <c r="D8" s="14"/>
      <c r="E8" s="14"/>
      <c r="F8" s="25" t="str">
        <f aca="false">IF(OR(D8="",E8=""),"",D8*E8)</f>
        <v/>
      </c>
      <c r="G8" s="5" t="str">
        <f aca="false">IF(F8="","",IF(F8&gt;=15,"CRÍTICO",IF(F8&gt;=9,"ALTO",IF(F8&gt;=4,"MÉDIO","BAIXO"))))</f>
        <v/>
      </c>
      <c r="H8" s="11"/>
      <c r="I8" s="11"/>
      <c r="J8" s="13"/>
    </row>
    <row r="9" customFormat="false" ht="24" hidden="false" customHeight="true" outlineLevel="0" collapsed="false">
      <c r="A9" s="5" t="n">
        <v>4</v>
      </c>
      <c r="B9" s="10" t="s">
        <v>1041</v>
      </c>
      <c r="C9" s="12" t="s">
        <v>1042</v>
      </c>
      <c r="D9" s="14"/>
      <c r="E9" s="14"/>
      <c r="F9" s="25" t="str">
        <f aca="false">IF(OR(D9="",E9=""),"",D9*E9)</f>
        <v/>
      </c>
      <c r="G9" s="5" t="str">
        <f aca="false">IF(F9="","",IF(F9&gt;=15,"CRÍTICO",IF(F9&gt;=9,"ALTO",IF(F9&gt;=4,"MÉDIO","BAIXO"))))</f>
        <v/>
      </c>
      <c r="H9" s="11"/>
      <c r="I9" s="11"/>
      <c r="J9" s="13"/>
    </row>
    <row r="10" customFormat="false" ht="24" hidden="false" customHeight="true" outlineLevel="0" collapsed="false">
      <c r="A10" s="5" t="n">
        <v>5</v>
      </c>
      <c r="B10" s="10" t="s">
        <v>1043</v>
      </c>
      <c r="C10" s="12" t="s">
        <v>908</v>
      </c>
      <c r="D10" s="14"/>
      <c r="E10" s="14"/>
      <c r="F10" s="25" t="str">
        <f aca="false">IF(OR(D10="",E10=""),"",D10*E10)</f>
        <v/>
      </c>
      <c r="G10" s="5" t="str">
        <f aca="false">IF(F10="","",IF(F10&gt;=15,"CRÍTICO",IF(F10&gt;=9,"ALTO",IF(F10&gt;=4,"MÉDIO","BAIXO"))))</f>
        <v/>
      </c>
      <c r="H10" s="11"/>
      <c r="I10" s="11"/>
      <c r="J10" s="13"/>
    </row>
    <row r="11" customFormat="false" ht="24" hidden="false" customHeight="true" outlineLevel="0" collapsed="false">
      <c r="A11" s="5" t="n">
        <v>6</v>
      </c>
      <c r="B11" s="10" t="s">
        <v>1044</v>
      </c>
      <c r="C11" s="12" t="s">
        <v>1045</v>
      </c>
      <c r="D11" s="14"/>
      <c r="E11" s="14"/>
      <c r="F11" s="25" t="str">
        <f aca="false">IF(OR(D11="",E11=""),"",D11*E11)</f>
        <v/>
      </c>
      <c r="G11" s="5" t="str">
        <f aca="false">IF(F11="","",IF(F11&gt;=15,"CRÍTICO",IF(F11&gt;=9,"ALTO",IF(F11&gt;=4,"MÉDIO","BAIXO"))))</f>
        <v/>
      </c>
      <c r="H11" s="11"/>
      <c r="I11" s="11"/>
      <c r="J11" s="13"/>
    </row>
    <row r="12" customFormat="false" ht="24" hidden="false" customHeight="true" outlineLevel="0" collapsed="false">
      <c r="A12" s="5" t="n">
        <v>7</v>
      </c>
      <c r="B12" s="10" t="s">
        <v>1046</v>
      </c>
      <c r="C12" s="12" t="s">
        <v>1047</v>
      </c>
      <c r="D12" s="14"/>
      <c r="E12" s="14"/>
      <c r="F12" s="25" t="str">
        <f aca="false">IF(OR(D12="",E12=""),"",D12*E12)</f>
        <v/>
      </c>
      <c r="G12" s="5" t="str">
        <f aca="false">IF(F12="","",IF(F12&gt;=15,"CRÍTICO",IF(F12&gt;=9,"ALTO",IF(F12&gt;=4,"MÉDIO","BAIXO"))))</f>
        <v/>
      </c>
      <c r="H12" s="11"/>
      <c r="I12" s="11"/>
      <c r="J12" s="13"/>
    </row>
    <row r="13" customFormat="false" ht="24" hidden="false" customHeight="true" outlineLevel="0" collapsed="false">
      <c r="A13" s="5" t="n">
        <v>8</v>
      </c>
      <c r="B13" s="10" t="s">
        <v>1048</v>
      </c>
      <c r="C13" s="12" t="s">
        <v>1049</v>
      </c>
      <c r="D13" s="14"/>
      <c r="E13" s="14"/>
      <c r="F13" s="25" t="str">
        <f aca="false">IF(OR(D13="",E13=""),"",D13*E13)</f>
        <v/>
      </c>
      <c r="G13" s="5" t="str">
        <f aca="false">IF(F13="","",IF(F13&gt;=15,"CRÍTICO",IF(F13&gt;=9,"ALTO",IF(F13&gt;=4,"MÉDIO","BAIXO"))))</f>
        <v/>
      </c>
      <c r="H13" s="11"/>
      <c r="I13" s="11"/>
      <c r="J13" s="13"/>
    </row>
    <row r="14" customFormat="false" ht="24" hidden="false" customHeight="true" outlineLevel="0" collapsed="false">
      <c r="A14" s="5" t="n">
        <v>9</v>
      </c>
      <c r="B14" s="10" t="s">
        <v>1050</v>
      </c>
      <c r="C14" s="12" t="s">
        <v>1051</v>
      </c>
      <c r="D14" s="14"/>
      <c r="E14" s="14"/>
      <c r="F14" s="25" t="str">
        <f aca="false">IF(OR(D14="",E14=""),"",D14*E14)</f>
        <v/>
      </c>
      <c r="G14" s="5" t="str">
        <f aca="false">IF(F14="","",IF(F14&gt;=15,"CRÍTICO",IF(F14&gt;=9,"ALTO",IF(F14&gt;=4,"MÉDIO","BAIXO"))))</f>
        <v/>
      </c>
      <c r="H14" s="11"/>
      <c r="I14" s="11"/>
      <c r="J14" s="13"/>
    </row>
    <row r="15" customFormat="false" ht="24" hidden="false" customHeight="true" outlineLevel="0" collapsed="false">
      <c r="A15" s="5" t="n">
        <v>10</v>
      </c>
      <c r="B15" s="10" t="s">
        <v>1052</v>
      </c>
      <c r="C15" s="12" t="s">
        <v>1038</v>
      </c>
      <c r="D15" s="14"/>
      <c r="E15" s="14"/>
      <c r="F15" s="25" t="str">
        <f aca="false">IF(OR(D15="",E15=""),"",D15*E15)</f>
        <v/>
      </c>
      <c r="G15" s="5" t="str">
        <f aca="false">IF(F15="","",IF(F15&gt;=15,"CRÍTICO",IF(F15&gt;=9,"ALTO",IF(F15&gt;=4,"MÉDIO","BAIXO"))))</f>
        <v/>
      </c>
      <c r="H15" s="11"/>
      <c r="I15" s="11"/>
      <c r="J15" s="13"/>
    </row>
    <row r="16" customFormat="false" ht="24" hidden="false" customHeight="true" outlineLevel="0" collapsed="false">
      <c r="A16" s="5" t="n">
        <v>11</v>
      </c>
      <c r="B16" s="10" t="s">
        <v>1053</v>
      </c>
      <c r="C16" s="12" t="s">
        <v>1054</v>
      </c>
      <c r="D16" s="14"/>
      <c r="E16" s="14"/>
      <c r="F16" s="25" t="str">
        <f aca="false">IF(OR(D16="",E16=""),"",D16*E16)</f>
        <v/>
      </c>
      <c r="G16" s="5" t="str">
        <f aca="false">IF(F16="","",IF(F16&gt;=15,"CRÍTICO",IF(F16&gt;=9,"ALTO",IF(F16&gt;=4,"MÉDIO","BAIXO"))))</f>
        <v/>
      </c>
      <c r="H16" s="11"/>
      <c r="I16" s="11"/>
      <c r="J16" s="13"/>
    </row>
    <row r="17" customFormat="false" ht="24" hidden="false" customHeight="true" outlineLevel="0" collapsed="false">
      <c r="A17" s="5" t="n">
        <v>12</v>
      </c>
      <c r="B17" s="10" t="s">
        <v>1055</v>
      </c>
      <c r="C17" s="12" t="s">
        <v>1040</v>
      </c>
      <c r="D17" s="14"/>
      <c r="E17" s="14"/>
      <c r="F17" s="25" t="str">
        <f aca="false">IF(OR(D17="",E17=""),"",D17*E17)</f>
        <v/>
      </c>
      <c r="G17" s="5" t="str">
        <f aca="false">IF(F17="","",IF(F17&gt;=15,"CRÍTICO",IF(F17&gt;=9,"ALTO",IF(F17&gt;=4,"MÉDIO","BAIXO"))))</f>
        <v/>
      </c>
      <c r="H17" s="11"/>
      <c r="I17" s="11"/>
      <c r="J17" s="13"/>
    </row>
    <row r="18" customFormat="false" ht="15" hidden="false" customHeight="false" outlineLevel="0" collapsed="false">
      <c r="A18" s="32"/>
      <c r="B18" s="29" t="s">
        <v>1056</v>
      </c>
      <c r="C18" s="32"/>
      <c r="D18" s="32"/>
      <c r="E18" s="32"/>
      <c r="F18" s="33" t="n">
        <f aca="false">IFERROR(AVERAGE(F6:F17),0)</f>
        <v>0</v>
      </c>
      <c r="G18" s="32"/>
      <c r="H18" s="32"/>
      <c r="I18" s="32"/>
      <c r="J18" s="32"/>
    </row>
    <row r="19" customFormat="false" ht="15" hidden="false" customHeight="true" outlineLevel="0" collapsed="false">
      <c r="A19" s="32"/>
      <c r="B19" s="29" t="s">
        <v>248</v>
      </c>
      <c r="C19" s="32"/>
      <c r="D19" s="32"/>
      <c r="E19" s="32"/>
      <c r="F19" s="25" t="n">
        <f aca="false">COUNTIF(G6:G17,"CRÍTICO")+COUNTIF(G6:G17,"ALTO")</f>
        <v>0</v>
      </c>
      <c r="G19" s="35" t="s">
        <v>1057</v>
      </c>
      <c r="H19" s="35"/>
      <c r="I19" s="35"/>
      <c r="J19" s="35"/>
    </row>
    <row r="20" customFormat="false" ht="15" hidden="false" customHeight="true" outlineLevel="0" collapsed="false">
      <c r="A20" s="32"/>
      <c r="B20" s="29" t="s">
        <v>1058</v>
      </c>
      <c r="C20" s="32"/>
      <c r="D20" s="32"/>
      <c r="E20" s="32"/>
      <c r="F20" s="25" t="n">
        <f aca="false">COUNTIFS(G6:G17,"CRÍTICO",H6:H17,"")+COUNTIFS(G6:G17,"ALTO",H6:H17,"")</f>
        <v>0</v>
      </c>
      <c r="G20" s="35" t="s">
        <v>1059</v>
      </c>
      <c r="H20" s="35"/>
      <c r="I20" s="35"/>
      <c r="J20" s="35"/>
    </row>
    <row r="22" customFormat="false" ht="19.5" hidden="false" customHeight="true" outlineLevel="0" collapsed="false">
      <c r="A22" s="3" t="s">
        <v>1060</v>
      </c>
      <c r="B22" s="3"/>
      <c r="C22" s="3"/>
      <c r="D22" s="3"/>
      <c r="E22" s="3"/>
      <c r="F22" s="3"/>
      <c r="G22" s="3"/>
      <c r="H22" s="3"/>
      <c r="I22" s="3"/>
      <c r="J22" s="3"/>
    </row>
    <row r="23" customFormat="false" ht="27.75" hidden="false" customHeight="true" outlineLevel="0" collapsed="false">
      <c r="A23" s="4" t="s">
        <v>1061</v>
      </c>
      <c r="B23" s="4" t="s">
        <v>1033</v>
      </c>
      <c r="C23" s="4" t="s">
        <v>1062</v>
      </c>
      <c r="D23" s="4"/>
      <c r="E23" s="4"/>
      <c r="F23" s="4"/>
      <c r="G23" s="4"/>
      <c r="H23" s="4"/>
      <c r="I23" s="4"/>
      <c r="J23" s="4"/>
    </row>
    <row r="24" customFormat="false" ht="15" hidden="false" customHeight="true" outlineLevel="0" collapsed="false">
      <c r="A24" s="10" t="s">
        <v>1063</v>
      </c>
      <c r="B24" s="5" t="s">
        <v>1064</v>
      </c>
      <c r="C24" s="48" t="s">
        <v>1065</v>
      </c>
      <c r="D24" s="48"/>
      <c r="E24" s="48"/>
      <c r="F24" s="48"/>
      <c r="G24" s="48"/>
      <c r="H24" s="48"/>
      <c r="I24" s="48"/>
      <c r="J24" s="48"/>
    </row>
    <row r="25" customFormat="false" ht="15" hidden="false" customHeight="true" outlineLevel="0" collapsed="false">
      <c r="A25" s="10" t="s">
        <v>1066</v>
      </c>
      <c r="B25" s="5" t="s">
        <v>1067</v>
      </c>
      <c r="C25" s="48" t="s">
        <v>1068</v>
      </c>
      <c r="D25" s="48"/>
      <c r="E25" s="48"/>
      <c r="F25" s="48"/>
      <c r="G25" s="48"/>
      <c r="H25" s="48"/>
      <c r="I25" s="48"/>
      <c r="J25" s="48"/>
    </row>
    <row r="26" customFormat="false" ht="15" hidden="false" customHeight="true" outlineLevel="0" collapsed="false">
      <c r="A26" s="10" t="s">
        <v>1069</v>
      </c>
      <c r="B26" s="5" t="s">
        <v>1070</v>
      </c>
      <c r="C26" s="48" t="s">
        <v>1071</v>
      </c>
      <c r="D26" s="48"/>
      <c r="E26" s="48"/>
      <c r="F26" s="48"/>
      <c r="G26" s="48"/>
      <c r="H26" s="48"/>
      <c r="I26" s="48"/>
      <c r="J26" s="48"/>
    </row>
    <row r="27" customFormat="false" ht="15" hidden="false" customHeight="true" outlineLevel="0" collapsed="false">
      <c r="A27" s="10" t="s">
        <v>1072</v>
      </c>
      <c r="B27" s="5" t="s">
        <v>1073</v>
      </c>
      <c r="C27" s="48" t="s">
        <v>1074</v>
      </c>
      <c r="D27" s="48"/>
      <c r="E27" s="48"/>
      <c r="F27" s="48"/>
      <c r="G27" s="48"/>
      <c r="H27" s="48"/>
      <c r="I27" s="48"/>
      <c r="J27" s="48"/>
    </row>
  </sheetData>
  <mergeCells count="10">
    <mergeCell ref="A1:J1"/>
    <mergeCell ref="A2:J2"/>
    <mergeCell ref="A4:J4"/>
    <mergeCell ref="G19:J19"/>
    <mergeCell ref="G20:J20"/>
    <mergeCell ref="A22:J22"/>
    <mergeCell ref="C24:J24"/>
    <mergeCell ref="C25:J25"/>
    <mergeCell ref="C26:J26"/>
    <mergeCell ref="C27:J27"/>
  </mergeCells>
  <dataValidations count="1">
    <dataValidation allowBlank="true" errorStyle="stop" operator="between" showDropDown="false" showErrorMessage="false" showInputMessage="false" sqref="D6:E17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008C"/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4" min="3" style="0" width="18"/>
    <col collapsed="false" customWidth="true" hidden="false" outlineLevel="0" max="6" min="5" style="0" width="16"/>
    <col collapsed="false" customWidth="true" hidden="false" outlineLevel="0" max="7" min="7" style="0" width="44"/>
  </cols>
  <sheetData>
    <row r="1" customFormat="false" ht="30" hidden="false" customHeight="true" outlineLevel="0" collapsed="false">
      <c r="A1" s="1" t="s">
        <v>1075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1076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1077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4" t="s">
        <v>3</v>
      </c>
      <c r="B5" s="4" t="s">
        <v>42</v>
      </c>
      <c r="C5" s="4" t="s">
        <v>1078</v>
      </c>
      <c r="D5" s="4" t="s">
        <v>986</v>
      </c>
      <c r="E5" s="4" t="s">
        <v>356</v>
      </c>
      <c r="F5" s="4" t="s">
        <v>1079</v>
      </c>
      <c r="G5" s="4" t="s">
        <v>511</v>
      </c>
    </row>
    <row r="6" customFormat="false" ht="21.75" hidden="false" customHeight="true" outlineLevel="0" collapsed="false">
      <c r="A6" s="5" t="n">
        <v>1</v>
      </c>
      <c r="B6" s="10" t="s">
        <v>1080</v>
      </c>
      <c r="C6" s="12" t="s">
        <v>1081</v>
      </c>
      <c r="D6" s="11"/>
      <c r="E6" s="11"/>
      <c r="F6" s="13"/>
      <c r="G6" s="11"/>
    </row>
    <row r="7" customFormat="false" ht="21.75" hidden="false" customHeight="true" outlineLevel="0" collapsed="false">
      <c r="A7" s="5" t="n">
        <v>2</v>
      </c>
      <c r="B7" s="10" t="s">
        <v>1082</v>
      </c>
      <c r="C7" s="12" t="s">
        <v>1081</v>
      </c>
      <c r="D7" s="11"/>
      <c r="E7" s="11"/>
      <c r="F7" s="13"/>
      <c r="G7" s="11"/>
    </row>
    <row r="8" customFormat="false" ht="21.75" hidden="false" customHeight="true" outlineLevel="0" collapsed="false">
      <c r="A8" s="5" t="n">
        <v>3</v>
      </c>
      <c r="B8" s="10" t="s">
        <v>1083</v>
      </c>
      <c r="C8" s="12" t="s">
        <v>1081</v>
      </c>
      <c r="D8" s="11"/>
      <c r="E8" s="11"/>
      <c r="F8" s="13"/>
      <c r="G8" s="11"/>
    </row>
    <row r="9" customFormat="false" ht="21.75" hidden="false" customHeight="true" outlineLevel="0" collapsed="false">
      <c r="A9" s="5" t="n">
        <v>4</v>
      </c>
      <c r="B9" s="10" t="s">
        <v>1084</v>
      </c>
      <c r="C9" s="12" t="s">
        <v>1081</v>
      </c>
      <c r="D9" s="11"/>
      <c r="E9" s="11"/>
      <c r="F9" s="13"/>
      <c r="G9" s="11"/>
    </row>
    <row r="10" customFormat="false" ht="21.75" hidden="false" customHeight="true" outlineLevel="0" collapsed="false">
      <c r="A10" s="5" t="n">
        <v>5</v>
      </c>
      <c r="B10" s="10" t="s">
        <v>1085</v>
      </c>
      <c r="C10" s="12" t="s">
        <v>1086</v>
      </c>
      <c r="D10" s="11"/>
      <c r="E10" s="11"/>
      <c r="F10" s="13"/>
      <c r="G10" s="11"/>
    </row>
    <row r="11" customFormat="false" ht="21.75" hidden="false" customHeight="true" outlineLevel="0" collapsed="false">
      <c r="A11" s="5" t="n">
        <v>6</v>
      </c>
      <c r="B11" s="10" t="s">
        <v>1087</v>
      </c>
      <c r="C11" s="12" t="s">
        <v>1086</v>
      </c>
      <c r="D11" s="11"/>
      <c r="E11" s="11"/>
      <c r="F11" s="13"/>
      <c r="G11" s="11"/>
    </row>
    <row r="12" customFormat="false" ht="21.75" hidden="false" customHeight="true" outlineLevel="0" collapsed="false">
      <c r="A12" s="5" t="n">
        <v>7</v>
      </c>
      <c r="B12" s="10" t="s">
        <v>1088</v>
      </c>
      <c r="C12" s="12" t="s">
        <v>1086</v>
      </c>
      <c r="D12" s="11"/>
      <c r="E12" s="11"/>
      <c r="F12" s="13"/>
      <c r="G12" s="11"/>
    </row>
    <row r="13" customFormat="false" ht="21.75" hidden="false" customHeight="true" outlineLevel="0" collapsed="false">
      <c r="A13" s="5" t="n">
        <v>8</v>
      </c>
      <c r="B13" s="10" t="s">
        <v>1089</v>
      </c>
      <c r="C13" s="12" t="s">
        <v>1086</v>
      </c>
      <c r="D13" s="11"/>
      <c r="E13" s="11"/>
      <c r="F13" s="13"/>
      <c r="G13" s="11"/>
    </row>
    <row r="14" customFormat="false" ht="21.75" hidden="false" customHeight="true" outlineLevel="0" collapsed="false">
      <c r="A14" s="5" t="n">
        <v>9</v>
      </c>
      <c r="B14" s="10" t="s">
        <v>1090</v>
      </c>
      <c r="C14" s="12" t="s">
        <v>1086</v>
      </c>
      <c r="D14" s="11"/>
      <c r="E14" s="11"/>
      <c r="F14" s="13"/>
      <c r="G14" s="11"/>
    </row>
    <row r="15" customFormat="false" ht="21.75" hidden="false" customHeight="true" outlineLevel="0" collapsed="false">
      <c r="A15" s="5" t="n">
        <v>10</v>
      </c>
      <c r="B15" s="10" t="s">
        <v>1091</v>
      </c>
      <c r="C15" s="12" t="s">
        <v>1086</v>
      </c>
      <c r="D15" s="11"/>
      <c r="E15" s="11"/>
      <c r="F15" s="13"/>
      <c r="G15" s="11"/>
    </row>
    <row r="16" customFormat="false" ht="21.75" hidden="false" customHeight="true" outlineLevel="0" collapsed="false">
      <c r="A16" s="5" t="n">
        <v>11</v>
      </c>
      <c r="B16" s="10" t="s">
        <v>1092</v>
      </c>
      <c r="C16" s="12" t="s">
        <v>1093</v>
      </c>
      <c r="D16" s="11"/>
      <c r="E16" s="11"/>
      <c r="F16" s="13"/>
      <c r="G16" s="11"/>
    </row>
    <row r="17" customFormat="false" ht="21.75" hidden="false" customHeight="true" outlineLevel="0" collapsed="false">
      <c r="A17" s="5" t="n">
        <v>12</v>
      </c>
      <c r="B17" s="10" t="s">
        <v>1094</v>
      </c>
      <c r="C17" s="12" t="s">
        <v>1093</v>
      </c>
      <c r="D17" s="11"/>
      <c r="E17" s="11"/>
      <c r="F17" s="13"/>
      <c r="G17" s="11"/>
    </row>
    <row r="18" customFormat="false" ht="21.75" hidden="false" customHeight="true" outlineLevel="0" collapsed="false">
      <c r="A18" s="5" t="n">
        <v>13</v>
      </c>
      <c r="B18" s="10" t="s">
        <v>1095</v>
      </c>
      <c r="C18" s="12" t="s">
        <v>1093</v>
      </c>
      <c r="D18" s="11"/>
      <c r="E18" s="11"/>
      <c r="F18" s="13"/>
      <c r="G18" s="11"/>
    </row>
    <row r="19" customFormat="false" ht="21.75" hidden="false" customHeight="true" outlineLevel="0" collapsed="false">
      <c r="A19" s="5" t="n">
        <v>14</v>
      </c>
      <c r="B19" s="10" t="s">
        <v>1096</v>
      </c>
      <c r="C19" s="12" t="s">
        <v>1093</v>
      </c>
      <c r="D19" s="11"/>
      <c r="E19" s="11"/>
      <c r="F19" s="13"/>
      <c r="G19" s="11"/>
    </row>
    <row r="20" customFormat="false" ht="21.75" hidden="false" customHeight="true" outlineLevel="0" collapsed="false">
      <c r="A20" s="5" t="n">
        <v>15</v>
      </c>
      <c r="B20" s="10" t="s">
        <v>1097</v>
      </c>
      <c r="C20" s="12" t="s">
        <v>1093</v>
      </c>
      <c r="D20" s="11"/>
      <c r="E20" s="11"/>
      <c r="F20" s="13"/>
      <c r="G20" s="11"/>
    </row>
    <row r="21" customFormat="false" ht="21.75" hidden="false" customHeight="true" outlineLevel="0" collapsed="false">
      <c r="A21" s="5" t="n">
        <v>16</v>
      </c>
      <c r="B21" s="10" t="s">
        <v>1098</v>
      </c>
      <c r="C21" s="12" t="s">
        <v>1099</v>
      </c>
      <c r="D21" s="11"/>
      <c r="E21" s="11"/>
      <c r="F21" s="13"/>
      <c r="G21" s="11"/>
    </row>
    <row r="22" customFormat="false" ht="21.75" hidden="false" customHeight="true" outlineLevel="0" collapsed="false">
      <c r="A22" s="5" t="n">
        <v>17</v>
      </c>
      <c r="B22" s="10" t="s">
        <v>1100</v>
      </c>
      <c r="C22" s="12" t="s">
        <v>1099</v>
      </c>
      <c r="D22" s="11"/>
      <c r="E22" s="11"/>
      <c r="F22" s="13"/>
      <c r="G22" s="11"/>
    </row>
    <row r="23" customFormat="false" ht="21.75" hidden="false" customHeight="true" outlineLevel="0" collapsed="false">
      <c r="A23" s="5" t="n">
        <v>18</v>
      </c>
      <c r="B23" s="10" t="s">
        <v>1101</v>
      </c>
      <c r="C23" s="12" t="s">
        <v>1099</v>
      </c>
      <c r="D23" s="11"/>
      <c r="E23" s="11"/>
      <c r="F23" s="13"/>
      <c r="G23" s="11"/>
    </row>
    <row r="24" customFormat="false" ht="21.75" hidden="false" customHeight="true" outlineLevel="0" collapsed="false">
      <c r="A24" s="5" t="n">
        <v>19</v>
      </c>
      <c r="B24" s="10" t="s">
        <v>1102</v>
      </c>
      <c r="C24" s="12" t="s">
        <v>1099</v>
      </c>
      <c r="D24" s="11"/>
      <c r="E24" s="11"/>
      <c r="F24" s="13"/>
      <c r="G24" s="11"/>
    </row>
    <row r="25" customFormat="false" ht="21.75" hidden="false" customHeight="true" outlineLevel="0" collapsed="false">
      <c r="A25" s="5" t="n">
        <v>20</v>
      </c>
      <c r="B25" s="10" t="s">
        <v>1103</v>
      </c>
      <c r="C25" s="12" t="s">
        <v>1104</v>
      </c>
      <c r="D25" s="11"/>
      <c r="E25" s="11"/>
      <c r="F25" s="13"/>
      <c r="G25" s="11"/>
    </row>
    <row r="26" customFormat="false" ht="21.75" hidden="false" customHeight="true" outlineLevel="0" collapsed="false">
      <c r="A26" s="5" t="n">
        <v>21</v>
      </c>
      <c r="B26" s="10" t="s">
        <v>1105</v>
      </c>
      <c r="C26" s="12" t="s">
        <v>1104</v>
      </c>
      <c r="D26" s="11"/>
      <c r="E26" s="11"/>
      <c r="F26" s="13"/>
      <c r="G26" s="11"/>
    </row>
    <row r="27" customFormat="false" ht="21.75" hidden="false" customHeight="true" outlineLevel="0" collapsed="false">
      <c r="A27" s="5" t="n">
        <v>22</v>
      </c>
      <c r="B27" s="10" t="s">
        <v>1106</v>
      </c>
      <c r="C27" s="12" t="s">
        <v>1104</v>
      </c>
      <c r="D27" s="11"/>
      <c r="E27" s="11"/>
      <c r="F27" s="13"/>
      <c r="G27" s="11"/>
    </row>
    <row r="28" customFormat="false" ht="15" hidden="false" customHeight="false" outlineLevel="0" collapsed="false">
      <c r="A28" s="32"/>
      <c r="B28" s="29" t="s">
        <v>1107</v>
      </c>
      <c r="C28" s="32"/>
      <c r="D28" s="30" t="n">
        <f aca="false">IFERROR(COUNTIF(D6:D27,"Sim")/(COUNTA(D6:D27)-COUNTIF(D6:D27,"N/A")),0)</f>
        <v>0</v>
      </c>
      <c r="E28" s="32"/>
      <c r="F28" s="32"/>
      <c r="G28" s="12" t="s">
        <v>393</v>
      </c>
    </row>
    <row r="29" customFormat="false" ht="15" hidden="false" customHeight="false" outlineLevel="0" collapsed="false">
      <c r="A29" s="32"/>
      <c r="B29" s="29" t="s">
        <v>1108</v>
      </c>
      <c r="C29" s="32"/>
      <c r="D29" s="25" t="n">
        <f aca="false">COUNTIF(D6:D27,"Não")</f>
        <v>0</v>
      </c>
      <c r="E29" s="32"/>
      <c r="F29" s="32"/>
      <c r="G29" s="12" t="s">
        <v>1109</v>
      </c>
    </row>
    <row r="31" customFormat="false" ht="19.5" hidden="false" customHeight="true" outlineLevel="0" collapsed="false">
      <c r="A31" s="3" t="s">
        <v>1110</v>
      </c>
      <c r="B31" s="3"/>
      <c r="C31" s="3"/>
      <c r="D31" s="3"/>
      <c r="E31" s="3"/>
      <c r="F31" s="3"/>
      <c r="G31" s="3"/>
    </row>
    <row r="32" customFormat="false" ht="27.75" hidden="false" customHeight="true" outlineLevel="0" collapsed="false">
      <c r="A32" s="4"/>
      <c r="B32" s="4" t="s">
        <v>211</v>
      </c>
      <c r="C32" s="4" t="s">
        <v>212</v>
      </c>
      <c r="D32" s="4"/>
      <c r="E32" s="4"/>
      <c r="F32" s="4"/>
      <c r="G32" s="4" t="s">
        <v>213</v>
      </c>
    </row>
    <row r="33" customFormat="false" ht="21.75" hidden="false" customHeight="true" outlineLevel="0" collapsed="false">
      <c r="A33" s="45"/>
      <c r="B33" s="10" t="s">
        <v>242</v>
      </c>
      <c r="C33" s="49" t="n">
        <f aca="false">'7. Scorecard'!D17</f>
        <v>0</v>
      </c>
      <c r="D33" s="49"/>
      <c r="E33" s="49"/>
      <c r="F33" s="49"/>
      <c r="G33" s="12" t="s">
        <v>1111</v>
      </c>
    </row>
    <row r="34" customFormat="false" ht="21.75" hidden="false" customHeight="true" outlineLevel="0" collapsed="false">
      <c r="A34" s="45"/>
      <c r="B34" s="10" t="s">
        <v>1112</v>
      </c>
      <c r="C34" s="50" t="str">
        <f aca="false">'7. Scorecard'!B18</f>
        <v>Incompleto — pontue todos os critérios</v>
      </c>
      <c r="D34" s="50"/>
      <c r="E34" s="50"/>
      <c r="F34" s="50"/>
      <c r="G34" s="12" t="s">
        <v>1111</v>
      </c>
    </row>
    <row r="35" customFormat="false" ht="21.75" hidden="false" customHeight="true" outlineLevel="0" collapsed="false">
      <c r="A35" s="45"/>
      <c r="B35" s="10" t="s">
        <v>946</v>
      </c>
      <c r="C35" s="51" t="n">
        <f aca="false">'5. Custos'!B160</f>
        <v>0</v>
      </c>
      <c r="D35" s="51"/>
      <c r="E35" s="51"/>
      <c r="F35" s="51"/>
      <c r="G35" s="12" t="s">
        <v>1113</v>
      </c>
    </row>
    <row r="36" customFormat="false" ht="21.75" hidden="false" customHeight="true" outlineLevel="0" collapsed="false">
      <c r="A36" s="45"/>
      <c r="B36" s="10" t="s">
        <v>232</v>
      </c>
      <c r="C36" s="50" t="str">
        <f aca="false">'5. Custos'!B177</f>
        <v>Preencha as premissas</v>
      </c>
      <c r="D36" s="50"/>
      <c r="E36" s="50"/>
      <c r="F36" s="50"/>
      <c r="G36" s="12" t="s">
        <v>1113</v>
      </c>
    </row>
    <row r="37" customFormat="false" ht="21.75" hidden="false" customHeight="true" outlineLevel="0" collapsed="false">
      <c r="A37" s="45"/>
      <c r="B37" s="10" t="s">
        <v>1114</v>
      </c>
      <c r="C37" s="52" t="n">
        <f aca="false">'6. Viabilidade'!B33</f>
        <v>5114</v>
      </c>
      <c r="D37" s="52"/>
      <c r="E37" s="52"/>
      <c r="F37" s="52"/>
      <c r="G37" s="12" t="s">
        <v>1115</v>
      </c>
    </row>
    <row r="38" customFormat="false" ht="21.75" hidden="false" customHeight="true" outlineLevel="0" collapsed="false">
      <c r="A38" s="45"/>
      <c r="B38" s="10" t="s">
        <v>238</v>
      </c>
      <c r="C38" s="52" t="n">
        <f aca="false">'6. Viabilidade'!B39</f>
        <v>-5114</v>
      </c>
      <c r="D38" s="52"/>
      <c r="E38" s="52"/>
      <c r="F38" s="52"/>
      <c r="G38" s="12" t="s">
        <v>1115</v>
      </c>
    </row>
    <row r="39" customFormat="false" ht="21.75" hidden="false" customHeight="true" outlineLevel="0" collapsed="false">
      <c r="A39" s="45"/>
      <c r="B39" s="10" t="s">
        <v>240</v>
      </c>
      <c r="C39" s="51" t="str">
        <f aca="false">'6. Viabilidade'!B40</f>
        <v>n/d</v>
      </c>
      <c r="D39" s="51"/>
      <c r="E39" s="51"/>
      <c r="F39" s="51"/>
      <c r="G39" s="12" t="s">
        <v>1115</v>
      </c>
    </row>
    <row r="40" customFormat="false" ht="21.75" hidden="false" customHeight="true" outlineLevel="0" collapsed="false">
      <c r="A40" s="45"/>
      <c r="B40" s="10" t="s">
        <v>241</v>
      </c>
      <c r="C40" s="49" t="str">
        <f aca="false">'6. Viabilidade'!B41</f>
        <v>Acima de 3 anos</v>
      </c>
      <c r="D40" s="49"/>
      <c r="E40" s="49"/>
      <c r="F40" s="49"/>
      <c r="G40" s="12" t="s">
        <v>1115</v>
      </c>
    </row>
    <row r="41" customFormat="false" ht="21.75" hidden="false" customHeight="true" outlineLevel="0" collapsed="false">
      <c r="A41" s="45"/>
      <c r="B41" s="10" t="s">
        <v>248</v>
      </c>
      <c r="C41" s="53" t="n">
        <f aca="false">'9. Riscos'!F19</f>
        <v>0</v>
      </c>
      <c r="D41" s="53"/>
      <c r="E41" s="53"/>
      <c r="F41" s="53"/>
      <c r="G41" s="12" t="s">
        <v>1116</v>
      </c>
    </row>
    <row r="42" customFormat="false" ht="21.75" hidden="false" customHeight="true" outlineLevel="0" collapsed="false">
      <c r="A42" s="45"/>
      <c r="B42" s="10" t="s">
        <v>1117</v>
      </c>
      <c r="C42" s="51" t="n">
        <f aca="false">D28</f>
        <v>0</v>
      </c>
      <c r="D42" s="51"/>
      <c r="E42" s="51"/>
      <c r="F42" s="51"/>
      <c r="G42" s="12" t="s">
        <v>1118</v>
      </c>
    </row>
    <row r="44" customFormat="false" ht="19.5" hidden="false" customHeight="true" outlineLevel="0" collapsed="false">
      <c r="A44" s="3" t="s">
        <v>1119</v>
      </c>
      <c r="B44" s="3"/>
      <c r="C44" s="3"/>
      <c r="D44" s="3"/>
      <c r="E44" s="3"/>
      <c r="F44" s="3"/>
      <c r="G44" s="3"/>
    </row>
    <row r="45" customFormat="false" ht="27.75" hidden="false" customHeight="true" outlineLevel="0" collapsed="false">
      <c r="A45" s="4"/>
      <c r="B45" s="4" t="s">
        <v>97</v>
      </c>
      <c r="C45" s="4" t="s">
        <v>1120</v>
      </c>
      <c r="D45" s="4"/>
      <c r="E45" s="4"/>
      <c r="F45" s="4"/>
      <c r="G45" s="4" t="s">
        <v>511</v>
      </c>
    </row>
    <row r="46" customFormat="false" ht="24" hidden="false" customHeight="true" outlineLevel="0" collapsed="false">
      <c r="A46" s="45"/>
      <c r="B46" s="10" t="s">
        <v>1121</v>
      </c>
      <c r="C46" s="34"/>
      <c r="D46" s="34"/>
      <c r="E46" s="34"/>
      <c r="F46" s="34"/>
      <c r="G46" s="12" t="s">
        <v>1122</v>
      </c>
    </row>
    <row r="47" customFormat="false" ht="24" hidden="false" customHeight="true" outlineLevel="0" collapsed="false">
      <c r="A47" s="45"/>
      <c r="B47" s="10" t="s">
        <v>1123</v>
      </c>
      <c r="C47" s="34"/>
      <c r="D47" s="34"/>
      <c r="E47" s="34"/>
      <c r="F47" s="34"/>
      <c r="G47" s="12" t="s">
        <v>1124</v>
      </c>
    </row>
    <row r="48" customFormat="false" ht="24" hidden="false" customHeight="true" outlineLevel="0" collapsed="false">
      <c r="A48" s="45"/>
      <c r="B48" s="10" t="s">
        <v>1125</v>
      </c>
      <c r="C48" s="34"/>
      <c r="D48" s="34"/>
      <c r="E48" s="34"/>
      <c r="F48" s="34"/>
      <c r="G48" s="12" t="s">
        <v>1126</v>
      </c>
    </row>
    <row r="49" customFormat="false" ht="24" hidden="false" customHeight="true" outlineLevel="0" collapsed="false">
      <c r="A49" s="45"/>
      <c r="B49" s="10" t="s">
        <v>1127</v>
      </c>
      <c r="C49" s="34"/>
      <c r="D49" s="34"/>
      <c r="E49" s="34"/>
      <c r="F49" s="34"/>
      <c r="G49" s="12" t="s">
        <v>1128</v>
      </c>
    </row>
    <row r="50" customFormat="false" ht="24" hidden="false" customHeight="true" outlineLevel="0" collapsed="false">
      <c r="A50" s="45"/>
      <c r="B50" s="10" t="s">
        <v>1129</v>
      </c>
      <c r="C50" s="34"/>
      <c r="D50" s="34"/>
      <c r="E50" s="34"/>
      <c r="F50" s="34"/>
      <c r="G50" s="12" t="s">
        <v>1130</v>
      </c>
    </row>
    <row r="51" customFormat="false" ht="24" hidden="false" customHeight="true" outlineLevel="0" collapsed="false">
      <c r="A51" s="45"/>
      <c r="B51" s="10" t="s">
        <v>1131</v>
      </c>
      <c r="C51" s="34"/>
      <c r="D51" s="34"/>
      <c r="E51" s="34"/>
      <c r="F51" s="34"/>
      <c r="G51" s="12" t="s">
        <v>1130</v>
      </c>
    </row>
    <row r="52" customFormat="false" ht="24" hidden="false" customHeight="true" outlineLevel="0" collapsed="false">
      <c r="A52" s="45"/>
      <c r="B52" s="10" t="s">
        <v>1132</v>
      </c>
      <c r="C52" s="34"/>
      <c r="D52" s="34"/>
      <c r="E52" s="34"/>
      <c r="F52" s="34"/>
      <c r="G52" s="12" t="s">
        <v>1130</v>
      </c>
    </row>
    <row r="53" customFormat="false" ht="24" hidden="false" customHeight="true" outlineLevel="0" collapsed="false">
      <c r="A53" s="45"/>
      <c r="B53" s="10" t="s">
        <v>1133</v>
      </c>
      <c r="C53" s="34"/>
      <c r="D53" s="34"/>
      <c r="E53" s="34"/>
      <c r="F53" s="34"/>
      <c r="G53" s="12" t="s">
        <v>1130</v>
      </c>
    </row>
    <row r="54" customFormat="false" ht="24" hidden="false" customHeight="true" outlineLevel="0" collapsed="false">
      <c r="A54" s="45"/>
      <c r="B54" s="10" t="s">
        <v>1134</v>
      </c>
      <c r="C54" s="34"/>
      <c r="D54" s="34"/>
      <c r="E54" s="34"/>
      <c r="F54" s="34"/>
      <c r="G54" s="12" t="s">
        <v>1130</v>
      </c>
    </row>
  </sheetData>
  <mergeCells count="24">
    <mergeCell ref="A1:G1"/>
    <mergeCell ref="A2:G2"/>
    <mergeCell ref="A4:G4"/>
    <mergeCell ref="A31:G31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A44:G44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</mergeCells>
  <dataValidations count="2">
    <dataValidation allowBlank="true" errorStyle="stop" operator="between" showDropDown="false" showErrorMessage="false" showInputMessage="false" sqref="D6:D27" type="list">
      <formula1>"Sim,Não,N/A"</formula1>
      <formula2>0</formula2>
    </dataValidation>
    <dataValidation allowBlank="true" errorStyle="stop" operator="between" showDropDown="false" showErrorMessage="false" showInputMessage="false" sqref="C46" type="list">
      <formula1>"GO,GO condicionado,AJUSTAR e retornar,NO-GO"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2026-08-18T17:40:11Z</dcterms:created>
  <dc:creator>openpyxl</dc:creator>
  <dc:description/>
  <dc:language>en-US</dc:language>
  <cp:lastModifiedBy/>
  <dcterms:modified xsi:type="dcterms:W3CDTF">2026-08-18T17:40:11Z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